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用说明" sheetId="1" state="visible" r:id="rId3"/>
    <sheet name="每日复盘" sheetId="2" state="visible" r:id="rId4"/>
    <sheet name="月度统计" sheetId="3" state="visible" r:id="rId5"/>
  </sheets>
  <definedNames>
    <definedName function="false" hidden="true" localSheetId="1" name="_xlnm._FilterDatabase" vbProcedure="false">每日复盘!$A$1:$AE$302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<sst xmlns="http://schemas.openxmlformats.org/spreadsheetml/2006/main" count="172" uniqueCount="108">
  <si>
    <t xml:space="preserve">期货复盘日志 —— 使用说明</t>
  </si>
  <si>
    <r>
      <rPr>
        <sz val="11"/>
        <rFont val="Noto Sans CJK SC"/>
        <family val="2"/>
      </rPr>
      <t xml:space="preserve">这份表配合 </t>
    </r>
    <r>
      <rPr>
        <sz val="11"/>
        <rFont val="Microsoft YaHei"/>
        <family val="0"/>
        <charset val="1"/>
      </rPr>
      <t xml:space="preserve">futures_lab </t>
    </r>
    <r>
      <rPr>
        <sz val="11"/>
        <rFont val="Noto Sans CJK SC"/>
        <family val="2"/>
      </rPr>
      <t xml:space="preserve">系统使用：每天花几分钟，把系统页面上已经算好的数字抄过来，再手写几句自己的判断，长期积累下来，一是能验证系统给出的信号准不准，二是能给案例库（</t>
    </r>
    <r>
      <rPr>
        <sz val="11"/>
        <rFont val="Microsoft YaHei"/>
        <family val="0"/>
        <charset val="1"/>
      </rPr>
      <t xml:space="preserve">/admin </t>
    </r>
    <r>
      <rPr>
        <sz val="11"/>
        <rFont val="Noto Sans CJK SC"/>
        <family val="2"/>
      </rPr>
      <t xml:space="preserve">里的 </t>
    </r>
    <r>
      <rPr>
        <sz val="11"/>
        <rFont val="Microsoft YaHei"/>
        <family val="0"/>
        <charset val="1"/>
      </rPr>
      <t xml:space="preserve">Case </t>
    </r>
    <r>
      <rPr>
        <sz val="11"/>
        <rFont val="Noto Sans CJK SC"/>
        <family val="2"/>
      </rPr>
      <t xml:space="preserve">表）积累原始素材——具体怎么把日常记录升级成正式案例，见本说明最后一段。</t>
    </r>
  </si>
  <si>
    <r>
      <rPr>
        <b val="true"/>
        <sz val="12"/>
        <color rgb="FF1F4E78"/>
        <rFont val="Noto Sans CJK SC"/>
        <family val="2"/>
      </rPr>
      <t xml:space="preserve">「每日复盘」</t>
    </r>
    <r>
      <rPr>
        <b val="true"/>
        <sz val="12"/>
        <color rgb="FF1F4E78"/>
        <rFont val="Microsoft YaHei"/>
        <family val="0"/>
        <charset val="1"/>
      </rPr>
      <t xml:space="preserve">sheet </t>
    </r>
    <r>
      <rPr>
        <b val="true"/>
        <sz val="12"/>
        <color rgb="FF1F4E78"/>
        <rFont val="Noto Sans CJK SC"/>
        <family val="2"/>
      </rPr>
      <t xml:space="preserve">里两种颜色的列，含义不一样：</t>
    </r>
  </si>
  <si>
    <r>
      <rPr>
        <sz val="11"/>
        <rFont val="Noto Sans CJK SC"/>
        <family val="2"/>
      </rPr>
      <t xml:space="preserve">蓝色表头的列 —— 抄数据。打开对应品种的详情页（例如 </t>
    </r>
    <r>
      <rPr>
        <sz val="11"/>
        <rFont val="Microsoft YaHei"/>
        <family val="0"/>
        <charset val="1"/>
      </rPr>
      <t xml:space="preserve">http://127.0.0.1:5000/variety/SA</t>
    </r>
    <r>
      <rPr>
        <sz val="11"/>
        <rFont val="Noto Sans CJK SC"/>
        <family val="2"/>
      </rPr>
      <t xml:space="preserve">），把页面上卡片里已经算好的数字</t>
    </r>
    <r>
      <rPr>
        <sz val="11"/>
        <rFont val="Microsoft YaHei"/>
        <family val="0"/>
        <charset val="1"/>
      </rPr>
      <t xml:space="preserve">/</t>
    </r>
    <r>
      <rPr>
        <sz val="11"/>
        <rFont val="Noto Sans CJK SC"/>
        <family val="2"/>
      </rPr>
      <t xml:space="preserve">状态原样抄过来，不需要自己判断，几秒钟一列。</t>
    </r>
  </si>
  <si>
    <t xml:space="preserve">黄色表头的列 —— 写判断。这些系统算不出来，需要自己当天观察、当天写，是复盘真正花心思的地方（比如市场情绪、有没有新政策、自己的操作是否符合原则）。</t>
  </si>
  <si>
    <t xml:space="preserve">「每日复盘」每一列具体从哪里抄、怎么填：</t>
  </si>
  <si>
    <r>
      <rPr>
        <b val="true"/>
        <sz val="11"/>
        <rFont val="Noto Sans CJK SC"/>
        <family val="2"/>
      </rPr>
      <t xml:space="preserve">● 日期 </t>
    </r>
    <r>
      <rPr>
        <b val="true"/>
        <sz val="11"/>
        <rFont val="Microsoft YaHei"/>
        <family val="0"/>
        <charset val="1"/>
      </rPr>
      <t xml:space="preserve">/ </t>
    </r>
    <r>
      <rPr>
        <b val="true"/>
        <sz val="11"/>
        <rFont val="Noto Sans CJK SC"/>
        <family val="2"/>
      </rPr>
      <t xml:space="preserve">品种代码</t>
    </r>
  </si>
  <si>
    <r>
      <rPr>
        <sz val="11"/>
        <rFont val="Noto Sans CJK SC"/>
        <family val="2"/>
      </rPr>
      <t xml:space="preserve">当天日期 </t>
    </r>
    <r>
      <rPr>
        <sz val="11"/>
        <rFont val="Microsoft YaHei"/>
        <family val="0"/>
        <charset val="1"/>
      </rPr>
      <t xml:space="preserve">+ </t>
    </r>
    <r>
      <rPr>
        <sz val="11"/>
        <rFont val="Noto Sans CJK SC"/>
        <family val="2"/>
      </rPr>
      <t xml:space="preserve">品种代码（</t>
    </r>
    <r>
      <rPr>
        <sz val="11"/>
        <rFont val="Microsoft YaHei"/>
        <family val="0"/>
        <charset val="1"/>
      </rPr>
      <t xml:space="preserve">SA/FG/M...</t>
    </r>
    <r>
      <rPr>
        <sz val="11"/>
        <rFont val="Noto Sans CJK SC"/>
        <family val="2"/>
      </rPr>
      <t xml:space="preserve">），一个品种一行，同一天多个品种就分几行填。</t>
    </r>
  </si>
  <si>
    <r>
      <rPr>
        <b val="true"/>
        <sz val="11"/>
        <rFont val="Noto Sans CJK SC"/>
        <family val="2"/>
      </rPr>
      <t xml:space="preserve">● 收盘价 </t>
    </r>
    <r>
      <rPr>
        <b val="true"/>
        <sz val="11"/>
        <rFont val="Microsoft YaHei"/>
        <family val="0"/>
        <charset val="1"/>
      </rPr>
      <t xml:space="preserve">/ </t>
    </r>
    <r>
      <rPr>
        <b val="true"/>
        <sz val="11"/>
        <rFont val="Noto Sans CJK SC"/>
        <family val="2"/>
      </rPr>
      <t xml:space="preserve">涨跌幅</t>
    </r>
    <r>
      <rPr>
        <b val="true"/>
        <sz val="11"/>
        <rFont val="Microsoft YaHei"/>
        <family val="0"/>
        <charset val="1"/>
      </rPr>
      <t xml:space="preserve">(%)</t>
    </r>
  </si>
  <si>
    <r>
      <rPr>
        <sz val="11"/>
        <rFont val="Noto Sans CJK SC"/>
        <family val="2"/>
      </rPr>
      <t xml:space="preserve">品种详情页顶部「价格快照」，涨跌幅</t>
    </r>
    <r>
      <rPr>
        <sz val="11"/>
        <rFont val="Microsoft YaHei"/>
        <family val="0"/>
        <charset val="1"/>
      </rPr>
      <t xml:space="preserve">=</t>
    </r>
    <r>
      <rPr>
        <sz val="11"/>
        <rFont val="Noto Sans CJK SC"/>
        <family val="2"/>
      </rPr>
      <t xml:space="preserve">（今日收盘</t>
    </r>
    <r>
      <rPr>
        <sz val="11"/>
        <rFont val="Microsoft YaHei"/>
        <family val="0"/>
        <charset val="1"/>
      </rPr>
      <t xml:space="preserve">-</t>
    </r>
    <r>
      <rPr>
        <sz val="11"/>
        <rFont val="Noto Sans CJK SC"/>
        <family val="2"/>
      </rPr>
      <t xml:space="preserve">昨日收盘）</t>
    </r>
    <r>
      <rPr>
        <sz val="11"/>
        <rFont val="Microsoft YaHei"/>
        <family val="0"/>
        <charset val="1"/>
      </rPr>
      <t xml:space="preserve">/</t>
    </r>
    <r>
      <rPr>
        <sz val="11"/>
        <rFont val="Noto Sans CJK SC"/>
        <family val="2"/>
      </rPr>
      <t xml:space="preserve">昨日收盘。</t>
    </r>
  </si>
  <si>
    <r>
      <rPr>
        <b val="true"/>
        <sz val="11"/>
        <rFont val="Noto Sans CJK SC"/>
        <family val="2"/>
      </rPr>
      <t xml:space="preserve">● 价格分位数 </t>
    </r>
    <r>
      <rPr>
        <b val="true"/>
        <sz val="11"/>
        <rFont val="Microsoft YaHei"/>
        <family val="0"/>
        <charset val="1"/>
      </rPr>
      <t xml:space="preserve">/ </t>
    </r>
    <r>
      <rPr>
        <b val="true"/>
        <sz val="11"/>
        <rFont val="Noto Sans CJK SC"/>
        <family val="2"/>
      </rPr>
      <t xml:space="preserve">所处区间 </t>
    </r>
    <r>
      <rPr>
        <b val="true"/>
        <sz val="11"/>
        <rFont val="Microsoft YaHei"/>
        <family val="0"/>
        <charset val="1"/>
      </rPr>
      <t xml:space="preserve">/ </t>
    </r>
    <r>
      <rPr>
        <b val="true"/>
        <sz val="11"/>
        <rFont val="Noto Sans CJK SC"/>
        <family val="2"/>
      </rPr>
      <t xml:space="preserve">是否极端 </t>
    </r>
    <r>
      <rPr>
        <b val="true"/>
        <sz val="11"/>
        <rFont val="Microsoft YaHei"/>
        <family val="0"/>
        <charset val="1"/>
      </rPr>
      <t xml:space="preserve">/ </t>
    </r>
    <r>
      <rPr>
        <b val="true"/>
        <sz val="11"/>
        <rFont val="Noto Sans CJK SC"/>
        <family val="2"/>
      </rPr>
      <t xml:space="preserve">极端持续天数</t>
    </r>
  </si>
  <si>
    <r>
      <rPr>
        <sz val="11"/>
        <rFont val="Noto Sans CJK SC"/>
        <family val="2"/>
      </rPr>
      <t xml:space="preserve">品种详情页「事前状态」卡片里价格维度那一组：分位数、方向（高位</t>
    </r>
    <r>
      <rPr>
        <sz val="11"/>
        <rFont val="Microsoft YaHei"/>
        <family val="0"/>
        <charset val="1"/>
      </rPr>
      <t xml:space="preserve">/</t>
    </r>
    <r>
      <rPr>
        <sz val="11"/>
        <rFont val="Noto Sans CJK SC"/>
        <family val="2"/>
      </rPr>
      <t xml:space="preserve">低位）、是否标了「极端区间」、连续天数。</t>
    </r>
  </si>
  <si>
    <r>
      <rPr>
        <b val="true"/>
        <sz val="11"/>
        <rFont val="Noto Sans CJK SC"/>
        <family val="2"/>
      </rPr>
      <t xml:space="preserve">● 利润分位数 </t>
    </r>
    <r>
      <rPr>
        <b val="true"/>
        <sz val="11"/>
        <rFont val="Microsoft YaHei"/>
        <family val="0"/>
        <charset val="1"/>
      </rPr>
      <t xml:space="preserve">/ </t>
    </r>
    <r>
      <rPr>
        <b val="true"/>
        <sz val="11"/>
        <rFont val="Noto Sans CJK SC"/>
        <family val="2"/>
      </rPr>
      <t xml:space="preserve">所处区间 </t>
    </r>
    <r>
      <rPr>
        <b val="true"/>
        <sz val="11"/>
        <rFont val="Microsoft YaHei"/>
        <family val="0"/>
        <charset val="1"/>
      </rPr>
      <t xml:space="preserve">/ </t>
    </r>
    <r>
      <rPr>
        <b val="true"/>
        <sz val="11"/>
        <rFont val="Noto Sans CJK SC"/>
        <family val="2"/>
      </rPr>
      <t xml:space="preserve">是否极端 </t>
    </r>
    <r>
      <rPr>
        <b val="true"/>
        <sz val="11"/>
        <rFont val="Microsoft YaHei"/>
        <family val="0"/>
        <charset val="1"/>
      </rPr>
      <t xml:space="preserve">/ </t>
    </r>
    <r>
      <rPr>
        <b val="true"/>
        <sz val="11"/>
        <rFont val="Noto Sans CJK SC"/>
        <family val="2"/>
      </rPr>
      <t xml:space="preserve">持续天数</t>
    </r>
  </si>
  <si>
    <r>
      <rPr>
        <sz val="11"/>
        <rFont val="Noto Sans CJK SC"/>
        <family val="2"/>
      </rPr>
      <t xml:space="preserve">品种详情页「利润率信号」卡片，字段含义同上，只是维度换成利润</t>
    </r>
    <r>
      <rPr>
        <sz val="11"/>
        <rFont val="Microsoft YaHei"/>
        <family val="0"/>
        <charset val="1"/>
      </rPr>
      <t xml:space="preserve">/</t>
    </r>
    <r>
      <rPr>
        <sz val="11"/>
        <rFont val="Noto Sans CJK SC"/>
        <family val="2"/>
      </rPr>
      <t xml:space="preserve">加工费。</t>
    </r>
  </si>
  <si>
    <r>
      <rPr>
        <b val="true"/>
        <sz val="11"/>
        <rFont val="Noto Sans CJK SC"/>
        <family val="2"/>
      </rPr>
      <t xml:space="preserve">● 筹码信号是否触发 </t>
    </r>
    <r>
      <rPr>
        <b val="true"/>
        <sz val="11"/>
        <rFont val="Microsoft YaHei"/>
        <family val="0"/>
        <charset val="1"/>
      </rPr>
      <t xml:space="preserve">/ </t>
    </r>
    <r>
      <rPr>
        <b val="true"/>
        <sz val="11"/>
        <rFont val="Noto Sans CJK SC"/>
        <family val="2"/>
      </rPr>
      <t xml:space="preserve">方向</t>
    </r>
  </si>
  <si>
    <r>
      <rPr>
        <sz val="11"/>
        <rFont val="Noto Sans CJK SC"/>
        <family val="2"/>
      </rPr>
      <t xml:space="preserve">品种详情页「筹码</t>
    </r>
    <r>
      <rPr>
        <sz val="11"/>
        <rFont val="Microsoft YaHei"/>
        <family val="0"/>
        <charset val="1"/>
      </rPr>
      <t xml:space="preserve">/</t>
    </r>
    <r>
      <rPr>
        <sz val="11"/>
        <rFont val="Noto Sans CJK SC"/>
        <family val="2"/>
      </rPr>
      <t xml:space="preserve">仓单异常」卡片：有没有触发提示，触发的话是异常放大</t>
    </r>
    <r>
      <rPr>
        <sz val="11"/>
        <rFont val="Microsoft YaHei"/>
        <family val="0"/>
        <charset val="1"/>
      </rPr>
      <t xml:space="preserve">/</t>
    </r>
    <r>
      <rPr>
        <sz val="11"/>
        <rFont val="Noto Sans CJK SC"/>
        <family val="2"/>
      </rPr>
      <t xml:space="preserve">萎缩</t>
    </r>
    <r>
      <rPr>
        <sz val="11"/>
        <rFont val="Microsoft YaHei"/>
        <family val="0"/>
        <charset val="1"/>
      </rPr>
      <t xml:space="preserve">/</t>
    </r>
    <r>
      <rPr>
        <sz val="11"/>
        <rFont val="Noto Sans CJK SC"/>
        <family val="2"/>
      </rPr>
      <t xml:space="preserve">骤增</t>
    </r>
    <r>
      <rPr>
        <sz val="11"/>
        <rFont val="Microsoft YaHei"/>
        <family val="0"/>
        <charset val="1"/>
      </rPr>
      <t xml:space="preserve">/</t>
    </r>
    <r>
      <rPr>
        <sz val="11"/>
        <rFont val="Noto Sans CJK SC"/>
        <family val="2"/>
      </rPr>
      <t xml:space="preserve">骤减。</t>
    </r>
  </si>
  <si>
    <r>
      <rPr>
        <b val="true"/>
        <sz val="11"/>
        <rFont val="Noto Sans CJK SC"/>
        <family val="2"/>
      </rPr>
      <t xml:space="preserve">● 基差值 </t>
    </r>
    <r>
      <rPr>
        <b val="true"/>
        <sz val="11"/>
        <rFont val="Microsoft YaHei"/>
        <family val="0"/>
        <charset val="1"/>
      </rPr>
      <t xml:space="preserve">/ </t>
    </r>
    <r>
      <rPr>
        <b val="true"/>
        <sz val="11"/>
        <rFont val="Noto Sans CJK SC"/>
        <family val="2"/>
      </rPr>
      <t xml:space="preserve">基差状态</t>
    </r>
  </si>
  <si>
    <r>
      <rPr>
        <sz val="11"/>
        <rFont val="Noto Sans CJK SC"/>
        <family val="2"/>
      </rPr>
      <t xml:space="preserve">品种详情页基差卡片或 </t>
    </r>
    <r>
      <rPr>
        <sz val="11"/>
        <rFont val="Microsoft YaHei"/>
        <family val="0"/>
        <charset val="1"/>
      </rPr>
      <t xml:space="preserve">position </t>
    </r>
    <r>
      <rPr>
        <sz val="11"/>
        <rFont val="Noto Sans CJK SC"/>
        <family val="2"/>
      </rPr>
      <t xml:space="preserve">详情页。注意：</t>
    </r>
    <r>
      <rPr>
        <sz val="11"/>
        <rFont val="Microsoft YaHei"/>
        <family val="0"/>
        <charset val="1"/>
      </rPr>
      <t xml:space="preserve">basis_value </t>
    </r>
    <r>
      <rPr>
        <sz val="11"/>
        <rFont val="Noto Sans CJK SC"/>
        <family val="2"/>
      </rPr>
      <t xml:space="preserve">的正负号不直观，务必连着「状态」列（升水</t>
    </r>
    <r>
      <rPr>
        <sz val="11"/>
        <rFont val="Microsoft YaHei"/>
        <family val="0"/>
        <charset val="1"/>
      </rPr>
      <t xml:space="preserve">/</t>
    </r>
    <r>
      <rPr>
        <sz val="11"/>
        <rFont val="Noto Sans CJK SC"/>
        <family val="2"/>
      </rPr>
      <t xml:space="preserve">贴水）一起看，不要只看正负号猜方向——这是 </t>
    </r>
    <r>
      <rPr>
        <sz val="11"/>
        <rFont val="Microsoft YaHei"/>
        <family val="0"/>
        <charset val="1"/>
      </rPr>
      <t xml:space="preserve">system_design.md </t>
    </r>
    <r>
      <rPr>
        <sz val="11"/>
        <rFont val="Noto Sans CJK SC"/>
        <family val="2"/>
      </rPr>
      <t xml:space="preserve">里特别提醒过的坑。</t>
    </r>
  </si>
  <si>
    <r>
      <rPr>
        <b val="true"/>
        <sz val="11"/>
        <rFont val="Noto Sans CJK SC"/>
        <family val="2"/>
      </rPr>
      <t xml:space="preserve">● 持仓量 </t>
    </r>
    <r>
      <rPr>
        <b val="true"/>
        <sz val="11"/>
        <rFont val="Microsoft YaHei"/>
        <family val="0"/>
        <charset val="1"/>
      </rPr>
      <t xml:space="preserve">/ </t>
    </r>
    <r>
      <rPr>
        <b val="true"/>
        <sz val="11"/>
        <rFont val="Noto Sans CJK SC"/>
        <family val="2"/>
      </rPr>
      <t xml:space="preserve">仓单量</t>
    </r>
  </si>
  <si>
    <r>
      <rPr>
        <sz val="11"/>
        <rFont val="Microsoft YaHei"/>
        <family val="0"/>
        <charset val="1"/>
      </rPr>
      <t xml:space="preserve">/position/</t>
    </r>
    <r>
      <rPr>
        <sz val="11"/>
        <rFont val="Noto Sans CJK SC"/>
        <family val="2"/>
      </rPr>
      <t xml:space="preserve">品种代码 详情页最新一天的持仓量、仓单量读数。</t>
    </r>
  </si>
  <si>
    <t xml:space="preserve">● 现状体检异常项</t>
  </si>
  <si>
    <t xml:space="preserve">品种详情页「现状体检」卡片，有没有因子被标「偏热」或「异常」，有的话写因子名字。</t>
  </si>
  <si>
    <r>
      <rPr>
        <b val="true"/>
        <sz val="11"/>
        <rFont val="Noto Sans CJK SC"/>
        <family val="2"/>
      </rPr>
      <t xml:space="preserve">● 系统</t>
    </r>
    <r>
      <rPr>
        <b val="true"/>
        <sz val="11"/>
        <rFont val="Microsoft YaHei"/>
        <family val="0"/>
        <charset val="1"/>
      </rPr>
      <t xml:space="preserve">composite</t>
    </r>
    <r>
      <rPr>
        <b val="true"/>
        <sz val="11"/>
        <rFont val="Noto Sans CJK SC"/>
        <family val="2"/>
      </rPr>
      <t xml:space="preserve">结论 </t>
    </r>
    <r>
      <rPr>
        <b val="true"/>
        <sz val="11"/>
        <rFont val="Microsoft YaHei"/>
        <family val="0"/>
        <charset val="1"/>
      </rPr>
      <t xml:space="preserve">/ </t>
    </r>
    <r>
      <rPr>
        <b val="true"/>
        <sz val="11"/>
        <rFont val="Noto Sans CJK SC"/>
        <family val="2"/>
      </rPr>
      <t xml:space="preserve">置信度</t>
    </r>
  </si>
  <si>
    <r>
      <rPr>
        <sz val="11"/>
        <rFont val="Noto Sans CJK SC"/>
        <family val="2"/>
      </rPr>
      <t xml:space="preserve">品种详情页顶部「决策参考</t>
    </r>
    <r>
      <rPr>
        <sz val="11"/>
        <rFont val="Microsoft YaHei"/>
        <family val="0"/>
        <charset val="1"/>
      </rPr>
      <t xml:space="preserve">·</t>
    </r>
    <r>
      <rPr>
        <sz val="11"/>
        <rFont val="Noto Sans CJK SC"/>
        <family val="2"/>
      </rPr>
      <t xml:space="preserve">信号对齐」卡片：多头因素占优</t>
    </r>
    <r>
      <rPr>
        <sz val="11"/>
        <rFont val="Microsoft YaHei"/>
        <family val="0"/>
        <charset val="1"/>
      </rPr>
      <t xml:space="preserve">/</t>
    </r>
    <r>
      <rPr>
        <sz val="11"/>
        <rFont val="Noto Sans CJK SC"/>
        <family val="2"/>
      </rPr>
      <t xml:space="preserve">空头因素占优</t>
    </r>
    <r>
      <rPr>
        <sz val="11"/>
        <rFont val="Microsoft YaHei"/>
        <family val="0"/>
        <charset val="1"/>
      </rPr>
      <t xml:space="preserve">/</t>
    </r>
    <r>
      <rPr>
        <sz val="11"/>
        <rFont val="Noto Sans CJK SC"/>
        <family val="2"/>
      </rPr>
      <t xml:space="preserve">多空信号不一致</t>
    </r>
    <r>
      <rPr>
        <sz val="11"/>
        <rFont val="Microsoft YaHei"/>
        <family val="0"/>
        <charset val="1"/>
      </rPr>
      <t xml:space="preserve">/</t>
    </r>
    <r>
      <rPr>
        <sz val="11"/>
        <rFont val="Noto Sans CJK SC"/>
        <family val="2"/>
      </rPr>
      <t xml:space="preserve">无明显方向，以及高</t>
    </r>
    <r>
      <rPr>
        <sz val="11"/>
        <rFont val="Microsoft YaHei"/>
        <family val="0"/>
        <charset val="1"/>
      </rPr>
      <t xml:space="preserve">/</t>
    </r>
    <r>
      <rPr>
        <sz val="11"/>
        <rFont val="Noto Sans CJK SC"/>
        <family val="2"/>
      </rPr>
      <t xml:space="preserve">中</t>
    </r>
    <r>
      <rPr>
        <sz val="11"/>
        <rFont val="Microsoft YaHei"/>
        <family val="0"/>
        <charset val="1"/>
      </rPr>
      <t xml:space="preserve">/</t>
    </r>
    <r>
      <rPr>
        <sz val="11"/>
        <rFont val="Noto Sans CJK SC"/>
        <family val="2"/>
      </rPr>
      <t xml:space="preserve">低置信度。</t>
    </r>
  </si>
  <si>
    <r>
      <rPr>
        <b val="true"/>
        <sz val="11"/>
        <rFont val="Noto Sans CJK SC"/>
        <family val="2"/>
      </rPr>
      <t xml:space="preserve">● 是否匹配历史案例 </t>
    </r>
    <r>
      <rPr>
        <b val="true"/>
        <sz val="11"/>
        <rFont val="Microsoft YaHei"/>
        <family val="0"/>
        <charset val="1"/>
      </rPr>
      <t xml:space="preserve">/ </t>
    </r>
    <r>
      <rPr>
        <b val="true"/>
        <sz val="11"/>
        <rFont val="Noto Sans CJK SC"/>
        <family val="2"/>
      </rPr>
      <t xml:space="preserve">风险回报参考</t>
    </r>
  </si>
  <si>
    <r>
      <rPr>
        <sz val="11"/>
        <rFont val="Noto Sans CJK SC"/>
        <family val="2"/>
      </rPr>
      <t xml:space="preserve">「历史相似案例参照」卡片：有没有匹配到案例、案例名称，以及案例的最大涨幅</t>
    </r>
    <r>
      <rPr>
        <sz val="11"/>
        <rFont val="Microsoft YaHei"/>
        <family val="0"/>
        <charset val="1"/>
      </rPr>
      <t xml:space="preserve">/</t>
    </r>
    <r>
      <rPr>
        <sz val="11"/>
        <rFont val="Noto Sans CJK SC"/>
        <family val="2"/>
      </rPr>
      <t xml:space="preserve">最大回撤</t>
    </r>
    <r>
      <rPr>
        <sz val="11"/>
        <rFont val="Microsoft YaHei"/>
        <family val="0"/>
        <charset val="1"/>
      </rPr>
      <t xml:space="preserve">/</t>
    </r>
    <r>
      <rPr>
        <sz val="11"/>
        <rFont val="Noto Sans CJK SC"/>
        <family val="2"/>
      </rPr>
      <t xml:space="preserve">用时（如果有）。</t>
    </r>
  </si>
  <si>
    <r>
      <rPr>
        <b val="true"/>
        <sz val="11"/>
        <rFont val="Noto Sans CJK SC"/>
        <family val="2"/>
      </rPr>
      <t xml:space="preserve">● 今日新增事件</t>
    </r>
    <r>
      <rPr>
        <b val="true"/>
        <sz val="11"/>
        <rFont val="Microsoft YaHei"/>
        <family val="0"/>
        <charset val="1"/>
      </rPr>
      <t xml:space="preserve">/</t>
    </r>
    <r>
      <rPr>
        <b val="true"/>
        <sz val="11"/>
        <rFont val="Noto Sans CJK SC"/>
        <family val="2"/>
      </rPr>
      <t xml:space="preserve">政策</t>
    </r>
  </si>
  <si>
    <r>
      <rPr>
        <sz val="11"/>
        <rFont val="Microsoft YaHei"/>
        <family val="0"/>
        <charset val="1"/>
      </rPr>
      <t xml:space="preserve">/calendar/ </t>
    </r>
    <r>
      <rPr>
        <sz val="11"/>
        <rFont val="Noto Sans CJK SC"/>
        <family val="2"/>
      </rPr>
      <t xml:space="preserve">页面，看看今天有没有新出现的品种事件或政策，没有就写「无」。</t>
    </r>
  </si>
  <si>
    <t xml:space="preserve">● 市场当天主流解读</t>
  </si>
  <si>
    <r>
      <rPr>
        <sz val="11"/>
        <rFont val="Noto Sans CJK SC"/>
        <family val="2"/>
      </rPr>
      <t xml:space="preserve">自己写：今天市场普遍的情绪氛围</t>
    </r>
    <r>
      <rPr>
        <sz val="11"/>
        <rFont val="Microsoft YaHei"/>
        <family val="0"/>
        <charset val="1"/>
      </rPr>
      <t xml:space="preserve">/</t>
    </r>
    <r>
      <rPr>
        <sz val="11"/>
        <rFont val="Noto Sans CJK SC"/>
        <family val="2"/>
      </rPr>
      <t xml:space="preserve">主流观点是怎么解释这段行情的，跟你自己的判断不用一致。</t>
    </r>
  </si>
  <si>
    <t xml:space="preserve">● 系统未覆盖的异常信息</t>
  </si>
  <si>
    <t xml:space="preserve">自己写：任何你注意到、但上面这些卡片都没体现的异常情况（比如某条消息、某个反常的下游报价）。</t>
  </si>
  <si>
    <r>
      <rPr>
        <b val="true"/>
        <sz val="11"/>
        <rFont val="Noto Sans CJK SC"/>
        <family val="2"/>
      </rPr>
      <t xml:space="preserve">● 今日交易操作 </t>
    </r>
    <r>
      <rPr>
        <b val="true"/>
        <sz val="11"/>
        <rFont val="Microsoft YaHei"/>
        <family val="0"/>
        <charset val="1"/>
      </rPr>
      <t xml:space="preserve">/ </t>
    </r>
    <r>
      <rPr>
        <b val="true"/>
        <sz val="11"/>
        <rFont val="Noto Sans CJK SC"/>
        <family val="2"/>
      </rPr>
      <t xml:space="preserve">是否符合原则</t>
    </r>
  </si>
  <si>
    <r>
      <rPr>
        <sz val="11"/>
        <rFont val="Noto Sans CJK SC"/>
        <family val="2"/>
      </rPr>
      <t xml:space="preserve">自己写：今天开平仓、方向、仓位大小；再对照 </t>
    </r>
    <r>
      <rPr>
        <sz val="11"/>
        <rFont val="Microsoft YaHei"/>
        <family val="0"/>
        <charset val="1"/>
      </rPr>
      <t xml:space="preserve">/principles/ </t>
    </r>
    <r>
      <rPr>
        <sz val="11"/>
        <rFont val="Noto Sans CJK SC"/>
        <family val="2"/>
      </rPr>
      <t xml:space="preserve">页面的几条原则，简单写一句是否符合（比如有没有追空、仓位是不是跟置信度匹配）。</t>
    </r>
  </si>
  <si>
    <r>
      <rPr>
        <b val="true"/>
        <sz val="11"/>
        <rFont val="Noto Sans CJK SC"/>
        <family val="2"/>
      </rPr>
      <t xml:space="preserve">● 是否留痕候选 </t>
    </r>
    <r>
      <rPr>
        <b val="true"/>
        <sz val="11"/>
        <rFont val="Microsoft YaHei"/>
        <family val="0"/>
        <charset val="1"/>
      </rPr>
      <t xml:space="preserve">/ </t>
    </r>
    <r>
      <rPr>
        <b val="true"/>
        <sz val="11"/>
        <rFont val="Noto Sans CJK SC"/>
        <family val="2"/>
      </rPr>
      <t xml:space="preserve">留痕理由</t>
    </r>
  </si>
  <si>
    <r>
      <rPr>
        <sz val="11"/>
        <rFont val="Noto Sans CJK SC"/>
        <family val="2"/>
      </rPr>
      <t xml:space="preserve">自己判断：今天这个组合以后是否值得当案例参考，是就写「是」</t>
    </r>
    <r>
      <rPr>
        <sz val="11"/>
        <rFont val="Microsoft YaHei"/>
        <family val="0"/>
        <charset val="1"/>
      </rPr>
      <t xml:space="preserve">+</t>
    </r>
    <r>
      <rPr>
        <sz val="11"/>
        <rFont val="Noto Sans CJK SC"/>
        <family val="2"/>
      </rPr>
      <t xml:space="preserve">一句理由，大多数普通交易日这里应该是「否」。</t>
    </r>
  </si>
  <si>
    <t xml:space="preserve">● 备注</t>
  </si>
  <si>
    <t xml:space="preserve">任何以上列装不下的内容。</t>
  </si>
  <si>
    <t xml:space="preserve">多久做一次，怎么升级成正式案例：</t>
  </si>
  <si>
    <r>
      <rPr>
        <sz val="11"/>
        <rFont val="Noto Sans CJK SC"/>
        <family val="2"/>
      </rPr>
      <t xml:space="preserve">「每日复盘」这张表每天填，只花几分钟，不需要当天就分析出「真实驱动」是什么——这个字段本来就要等后续走势明朗才看得清，当天硬写就是瞎猜。等积累了一段时间（建议每月或每季度）</t>
    </r>
    <r>
      <rPr>
        <sz val="11"/>
        <rFont val="Microsoft YaHei"/>
        <family val="0"/>
        <charset val="1"/>
      </rPr>
      <t xml:space="preserve">,</t>
    </r>
    <r>
      <rPr>
        <sz val="11"/>
        <rFont val="Noto Sans CJK SC"/>
        <family val="2"/>
      </rPr>
      <t xml:space="preserve">翻一遍「是否留痕候选」</t>
    </r>
    <r>
      <rPr>
        <sz val="11"/>
        <rFont val="Microsoft YaHei"/>
        <family val="0"/>
        <charset val="1"/>
      </rPr>
      <t xml:space="preserve">=</t>
    </r>
    <r>
      <rPr>
        <sz val="11"/>
        <rFont val="Noto Sans CJK SC"/>
        <family val="2"/>
      </rPr>
      <t xml:space="preserve">是的行，看看哪些当时觉得少见的组合后来确实走出了有代表性的行情，把这几条按 </t>
    </r>
    <r>
      <rPr>
        <sz val="11"/>
        <rFont val="Microsoft YaHei"/>
        <family val="0"/>
        <charset val="1"/>
      </rPr>
      <t xml:space="preserve">docs/admin_guide.md </t>
    </r>
    <r>
      <rPr>
        <sz val="11"/>
        <rFont val="Noto Sans CJK SC"/>
        <family val="2"/>
      </rPr>
      <t xml:space="preserve">里「案例录入顺序」正式录入到 </t>
    </r>
    <r>
      <rPr>
        <sz val="11"/>
        <rFont val="Microsoft YaHei"/>
        <family val="0"/>
        <charset val="1"/>
      </rPr>
      <t xml:space="preserve">/admin </t>
    </r>
    <r>
      <rPr>
        <sz val="11"/>
        <rFont val="Noto Sans CJK SC"/>
        <family val="2"/>
      </rPr>
      <t xml:space="preserve">的 </t>
    </r>
    <r>
      <rPr>
        <sz val="11"/>
        <rFont val="Microsoft YaHei"/>
        <family val="0"/>
        <charset val="1"/>
      </rPr>
      <t xml:space="preserve">Case </t>
    </r>
    <r>
      <rPr>
        <sz val="11"/>
        <rFont val="Noto Sans CJK SC"/>
        <family val="2"/>
      </rPr>
      <t xml:space="preserve">表（连带 </t>
    </r>
    <r>
      <rPr>
        <sz val="11"/>
        <rFont val="Microsoft YaHei"/>
        <family val="0"/>
        <charset val="1"/>
      </rPr>
      <t xml:space="preserve">CaseTimeline </t>
    </r>
    <r>
      <rPr>
        <sz val="11"/>
        <rFont val="Noto Sans CJK SC"/>
        <family val="2"/>
      </rPr>
      <t xml:space="preserve">关键节点），这样案例库才是真正从复盘习惯里长出来的，而不是某天坐下来翻几年历史硬凑。</t>
    </r>
  </si>
  <si>
    <r>
      <rPr>
        <i val="true"/>
        <sz val="10"/>
        <color rgb="FF808080"/>
        <rFont val="Noto Sans CJK SC"/>
        <family val="2"/>
      </rPr>
      <t xml:space="preserve">「月度统计」</t>
    </r>
    <r>
      <rPr>
        <i val="true"/>
        <sz val="10"/>
        <color rgb="FF808080"/>
        <rFont val="Microsoft YaHei"/>
        <family val="0"/>
        <charset val="1"/>
      </rPr>
      <t xml:space="preserve">sheet </t>
    </r>
    <r>
      <rPr>
        <i val="true"/>
        <sz val="10"/>
        <color rgb="FF808080"/>
        <rFont val="Noto Sans CJK SC"/>
        <family val="2"/>
      </rPr>
      <t xml:space="preserve">是自动统计（用公式，不需要手填），按「品种</t>
    </r>
    <r>
      <rPr>
        <i val="true"/>
        <sz val="10"/>
        <color rgb="FF808080"/>
        <rFont val="Microsoft YaHei"/>
        <family val="0"/>
        <charset val="1"/>
      </rPr>
      <t xml:space="preserve">+</t>
    </r>
    <r>
      <rPr>
        <i val="true"/>
        <sz val="10"/>
        <color rgb="FF808080"/>
        <rFont val="Noto Sans CJK SC"/>
        <family val="2"/>
      </rPr>
      <t xml:space="preserve">月份」两个维度分别汇总</t>
    </r>
    <r>
      <rPr>
        <i val="true"/>
        <sz val="10"/>
        <color rgb="FF808080"/>
        <rFont val="Microsoft YaHei"/>
        <family val="0"/>
        <charset val="1"/>
      </rPr>
      <t xml:space="preserve">composite</t>
    </r>
    <r>
      <rPr>
        <i val="true"/>
        <sz val="10"/>
        <color rgb="FF808080"/>
        <rFont val="Noto Sans CJK SC"/>
        <family val="2"/>
      </rPr>
      <t xml:space="preserve">结论的分布和留痕候选的次数，不同品种的数据不会混在一起算——纯碱和豆粕的信号准不准是两回事，混着统计会互相掩盖。方便你自己评估某个品种在某段时间里系统给出的判断是偏多还是偏空、留痕的案例攒了多少条——这也是前面聊到的「系统到底准不准」的一种最简单的自查方式：多攒几个月的记录，回头对照实际走势，就能看出</t>
    </r>
    <r>
      <rPr>
        <i val="true"/>
        <sz val="10"/>
        <color rgb="FF808080"/>
        <rFont val="Microsoft YaHei"/>
        <family val="0"/>
        <charset val="1"/>
      </rPr>
      <t xml:space="preserve">composite</t>
    </r>
    <r>
      <rPr>
        <i val="true"/>
        <sz val="10"/>
        <color rgb="FF808080"/>
        <rFont val="Noto Sans CJK SC"/>
        <family val="2"/>
      </rPr>
      <t xml:space="preserve">的判断整体上站不站得住脚。现在预置的是</t>
    </r>
    <r>
      <rPr>
        <i val="true"/>
        <sz val="10"/>
        <color rgb="FF808080"/>
        <rFont val="Microsoft YaHei"/>
        <family val="0"/>
        <charset val="1"/>
      </rPr>
      <t xml:space="preserve">SA/FG/M</t>
    </r>
    <r>
      <rPr>
        <i val="true"/>
        <sz val="10"/>
        <color rgb="FF808080"/>
        <rFont val="Noto Sans CJK SC"/>
        <family val="2"/>
      </rPr>
      <t xml:space="preserve">三个品种各</t>
    </r>
    <r>
      <rPr>
        <i val="true"/>
        <sz val="10"/>
        <color rgb="FF808080"/>
        <rFont val="Microsoft YaHei"/>
        <family val="0"/>
        <charset val="1"/>
      </rPr>
      <t xml:space="preserve">12</t>
    </r>
    <r>
      <rPr>
        <i val="true"/>
        <sz val="10"/>
        <color rgb="FF808080"/>
        <rFont val="Noto Sans CJK SC"/>
        <family val="2"/>
      </rPr>
      <t xml:space="preserve">个月，以后加了新品种，照抄一个品种的</t>
    </r>
    <r>
      <rPr>
        <i val="true"/>
        <sz val="10"/>
        <color rgb="FF808080"/>
        <rFont val="Microsoft YaHei"/>
        <family val="0"/>
        <charset val="1"/>
      </rPr>
      <t xml:space="preserve">12</t>
    </r>
    <r>
      <rPr>
        <i val="true"/>
        <sz val="10"/>
        <color rgb="FF808080"/>
        <rFont val="Noto Sans CJK SC"/>
        <family val="2"/>
      </rPr>
      <t xml:space="preserve">行、把「品种」列改成新代码就行，公式里引用的是这一行自己的品种和月份，不用跟着改。</t>
    </r>
  </si>
  <si>
    <t xml:space="preserve">日期</t>
  </si>
  <si>
    <t xml:space="preserve">品种代码</t>
  </si>
  <si>
    <t xml:space="preserve">收盘价</t>
  </si>
  <si>
    <r>
      <rPr>
        <b val="true"/>
        <sz val="10"/>
        <color rgb="FF1F4E78"/>
        <rFont val="Noto Sans CJK SC"/>
        <family val="2"/>
      </rPr>
      <t xml:space="preserve">涨跌幅</t>
    </r>
    <r>
      <rPr>
        <b val="true"/>
        <sz val="10"/>
        <color rgb="FF1F4E78"/>
        <rFont val="Microsoft YaHei"/>
        <family val="0"/>
        <charset val="1"/>
      </rPr>
      <t xml:space="preserve">(%)</t>
    </r>
  </si>
  <si>
    <t xml:space="preserve">价格分位数</t>
  </si>
  <si>
    <t xml:space="preserve">价格所处区间</t>
  </si>
  <si>
    <t xml:space="preserve">价格是否极端</t>
  </si>
  <si>
    <t xml:space="preserve">价格极端持续天数</t>
  </si>
  <si>
    <t xml:space="preserve">利润分位数</t>
  </si>
  <si>
    <t xml:space="preserve">利润所处区间</t>
  </si>
  <si>
    <t xml:space="preserve">利润是否极端</t>
  </si>
  <si>
    <t xml:space="preserve">利润极端持续天数</t>
  </si>
  <si>
    <t xml:space="preserve">筹码信号是否触发</t>
  </si>
  <si>
    <t xml:space="preserve">筹码信号方向</t>
  </si>
  <si>
    <t xml:space="preserve">基差值</t>
  </si>
  <si>
    <t xml:space="preserve">基差状态</t>
  </si>
  <si>
    <t xml:space="preserve">持仓量</t>
  </si>
  <si>
    <t xml:space="preserve">仓单量</t>
  </si>
  <si>
    <t xml:space="preserve">现状体检异常项</t>
  </si>
  <si>
    <r>
      <rPr>
        <b val="true"/>
        <sz val="10"/>
        <color rgb="FF1F4E78"/>
        <rFont val="Noto Sans CJK SC"/>
        <family val="2"/>
      </rPr>
      <t xml:space="preserve">系统</t>
    </r>
    <r>
      <rPr>
        <b val="true"/>
        <sz val="10"/>
        <color rgb="FF1F4E78"/>
        <rFont val="Microsoft YaHei"/>
        <family val="0"/>
        <charset val="1"/>
      </rPr>
      <t xml:space="preserve">composite</t>
    </r>
    <r>
      <rPr>
        <b val="true"/>
        <sz val="10"/>
        <color rgb="FF1F4E78"/>
        <rFont val="Noto Sans CJK SC"/>
        <family val="2"/>
      </rPr>
      <t xml:space="preserve">结论</t>
    </r>
  </si>
  <si>
    <r>
      <rPr>
        <b val="true"/>
        <sz val="10"/>
        <color rgb="FF1F4E78"/>
        <rFont val="Microsoft YaHei"/>
        <family val="0"/>
        <charset val="1"/>
      </rPr>
      <t xml:space="preserve">composite</t>
    </r>
    <r>
      <rPr>
        <b val="true"/>
        <sz val="10"/>
        <color rgb="FF1F4E78"/>
        <rFont val="Noto Sans CJK SC"/>
        <family val="2"/>
      </rPr>
      <t xml:space="preserve">置信度</t>
    </r>
  </si>
  <si>
    <t xml:space="preserve">是否匹配历史案例</t>
  </si>
  <si>
    <t xml:space="preserve">匹配案例风险回报参考</t>
  </si>
  <si>
    <r>
      <rPr>
        <b val="true"/>
        <sz val="10"/>
        <color rgb="FF1F4E78"/>
        <rFont val="Noto Sans CJK SC"/>
        <family val="2"/>
      </rPr>
      <t xml:space="preserve">今日新增事件</t>
    </r>
    <r>
      <rPr>
        <b val="true"/>
        <sz val="10"/>
        <color rgb="FF1F4E78"/>
        <rFont val="Microsoft YaHei"/>
        <family val="0"/>
        <charset val="1"/>
      </rPr>
      <t xml:space="preserve">/</t>
    </r>
    <r>
      <rPr>
        <b val="true"/>
        <sz val="10"/>
        <color rgb="FF1F4E78"/>
        <rFont val="Noto Sans CJK SC"/>
        <family val="2"/>
      </rPr>
      <t xml:space="preserve">政策</t>
    </r>
  </si>
  <si>
    <t xml:space="preserve">市场当天主流解读</t>
  </si>
  <si>
    <t xml:space="preserve">系统未覆盖的异常信息</t>
  </si>
  <si>
    <t xml:space="preserve">今日交易操作</t>
  </si>
  <si>
    <t xml:space="preserve">是否符合交易原则</t>
  </si>
  <si>
    <t xml:space="preserve">是否留痕候选</t>
  </si>
  <si>
    <r>
      <rPr>
        <b val="true"/>
        <sz val="10"/>
        <color rgb="FF1F4E78"/>
        <rFont val="Noto Sans CJK SC"/>
        <family val="2"/>
      </rPr>
      <t xml:space="preserve">留痕理由</t>
    </r>
    <r>
      <rPr>
        <b val="true"/>
        <sz val="10"/>
        <color rgb="FF1F4E78"/>
        <rFont val="Microsoft YaHei"/>
        <family val="0"/>
        <charset val="1"/>
      </rPr>
      <t xml:space="preserve">/</t>
    </r>
    <r>
      <rPr>
        <b val="true"/>
        <sz val="10"/>
        <color rgb="FF1F4E78"/>
        <rFont val="Noto Sans CJK SC"/>
        <family val="2"/>
      </rPr>
      <t xml:space="preserve">关键要素</t>
    </r>
  </si>
  <si>
    <t xml:space="preserve">备注</t>
  </si>
  <si>
    <r>
      <rPr>
        <i val="true"/>
        <sz val="10"/>
        <color rgb="FF595959"/>
        <rFont val="Microsoft YaHei"/>
        <family val="0"/>
        <charset val="1"/>
      </rPr>
      <t xml:space="preserve">SA(</t>
    </r>
    <r>
      <rPr>
        <i val="true"/>
        <sz val="10"/>
        <color rgb="FF595959"/>
        <rFont val="Noto Sans CJK SC"/>
        <family val="2"/>
      </rPr>
      <t xml:space="preserve">示例行，请勿删除表头，往下另起新行填写</t>
    </r>
    <r>
      <rPr>
        <i val="true"/>
        <sz val="10"/>
        <color rgb="FF595959"/>
        <rFont val="Microsoft YaHei"/>
        <family val="0"/>
        <charset val="1"/>
      </rPr>
      <t xml:space="preserve">)</t>
    </r>
  </si>
  <si>
    <t xml:space="preserve">低位</t>
  </si>
  <si>
    <t xml:space="preserve">是</t>
  </si>
  <si>
    <t xml:space="preserve">利润极高</t>
  </si>
  <si>
    <t xml:space="preserve">否</t>
  </si>
  <si>
    <t xml:space="preserve">无</t>
  </si>
  <si>
    <t xml:space="preserve">升水</t>
  </si>
  <si>
    <t xml:space="preserve">多空信号不一致</t>
  </si>
  <si>
    <t xml:space="preserve">低</t>
  </si>
  <si>
    <t xml:space="preserve">市场情绪偏空，担心地产走弱压制纯碱需求，同时听说下游玻璃厂检修增多</t>
  </si>
  <si>
    <t xml:space="preserve">未交易，观望</t>
  </si>
  <si>
    <t xml:space="preserve">符合——信号不一致时按原则降低仓位</t>
  </si>
  <si>
    <r>
      <rPr>
        <i val="true"/>
        <sz val="10"/>
        <color rgb="FF595959"/>
        <rFont val="Noto Sans CJK SC"/>
        <family val="2"/>
      </rPr>
      <t xml:space="preserve">示例行：价格历史低位但利润历史高位同时出现，两条独立通道方向打架，所以系统判定「多空信号不一致</t>
    </r>
    <r>
      <rPr>
        <i val="true"/>
        <sz val="10"/>
        <color rgb="FF595959"/>
        <rFont val="Microsoft YaHei"/>
        <family val="0"/>
        <charset val="1"/>
      </rPr>
      <t xml:space="preserve">/</t>
    </r>
    <r>
      <rPr>
        <i val="true"/>
        <sz val="10"/>
        <color rgb="FF595959"/>
        <rFont val="Noto Sans CJK SC"/>
        <family val="2"/>
      </rPr>
      <t xml:space="preserve">低置信度」，实际操作选择观望。</t>
    </r>
  </si>
  <si>
    <t xml:space="preserve">品种</t>
  </si>
  <si>
    <t xml:space="preserve">月份</t>
  </si>
  <si>
    <t xml:space="preserve">记录天数</t>
  </si>
  <si>
    <t xml:space="preserve">多头因素占优</t>
  </si>
  <si>
    <t xml:space="preserve">空头因素占优</t>
  </si>
  <si>
    <t xml:space="preserve">无明显方向</t>
  </si>
  <si>
    <t xml:space="preserve">留痕候选次数</t>
  </si>
  <si>
    <t xml:space="preserve">SA</t>
  </si>
  <si>
    <t xml:space="preserve">2026-08</t>
  </si>
  <si>
    <t xml:space="preserve">2026-09</t>
  </si>
  <si>
    <t xml:space="preserve">2026-10</t>
  </si>
  <si>
    <t xml:space="preserve">2026-11</t>
  </si>
  <si>
    <t xml:space="preserve">2026-12</t>
  </si>
  <si>
    <t xml:space="preserve">2027-01</t>
  </si>
  <si>
    <t xml:space="preserve">2027-02</t>
  </si>
  <si>
    <t xml:space="preserve">2027-03</t>
  </si>
  <si>
    <t xml:space="preserve">2027-04</t>
  </si>
  <si>
    <t xml:space="preserve">2027-05</t>
  </si>
  <si>
    <t xml:space="preserve">2027-06</t>
  </si>
  <si>
    <t xml:space="preserve">2027-07</t>
  </si>
  <si>
    <t xml:space="preserve">FG</t>
  </si>
  <si>
    <t xml:space="preserve">M</t>
  </si>
  <si>
    <r>
      <rPr>
        <i val="true"/>
        <sz val="10"/>
        <color rgb="FF808080"/>
        <rFont val="Noto Sans CJK SC"/>
        <family val="2"/>
      </rPr>
      <t xml:space="preserve">说明：这张表全部是公式，按「品种</t>
    </r>
    <r>
      <rPr>
        <i val="true"/>
        <sz val="10"/>
        <color rgb="FF808080"/>
        <rFont val="Microsoft YaHei"/>
        <family val="0"/>
        <charset val="1"/>
      </rPr>
      <t xml:space="preserve">+</t>
    </r>
    <r>
      <rPr>
        <i val="true"/>
        <sz val="10"/>
        <color rgb="FF808080"/>
        <rFont val="Noto Sans CJK SC"/>
        <family val="2"/>
      </rPr>
      <t xml:space="preserve">月份」两个维度分别统计，跟着「每日复盘」</t>
    </r>
    <r>
      <rPr>
        <i val="true"/>
        <sz val="10"/>
        <color rgb="FF808080"/>
        <rFont val="Microsoft YaHei"/>
        <family val="0"/>
        <charset val="1"/>
      </rPr>
      <t xml:space="preserve">sheet</t>
    </r>
    <r>
      <rPr>
        <i val="true"/>
        <sz val="10"/>
        <color rgb="FF808080"/>
        <rFont val="Noto Sans CJK SC"/>
        <family val="2"/>
      </rPr>
      <t xml:space="preserve">自动更新，不需要手填，不同品种的数据不会混在一起算。以后加新品种，照抄一个品种的</t>
    </r>
    <r>
      <rPr>
        <i val="true"/>
        <sz val="10"/>
        <color rgb="FF808080"/>
        <rFont val="Microsoft YaHei"/>
        <family val="0"/>
        <charset val="1"/>
      </rPr>
      <t xml:space="preserve">12</t>
    </r>
    <r>
      <rPr>
        <i val="true"/>
        <sz val="10"/>
        <color rgb="FF808080"/>
        <rFont val="Noto Sans CJK SC"/>
        <family val="2"/>
      </rPr>
      <t xml:space="preserve">行、把「品种」列改成新代码即可，公式引用的是这一行自己的品种和月份，不用跟着改；如果「每日复盘」以后加了超过</t>
    </r>
    <r>
      <rPr>
        <i val="true"/>
        <sz val="10"/>
        <color rgb="FF808080"/>
        <rFont val="Microsoft YaHei"/>
        <family val="0"/>
        <charset val="1"/>
      </rPr>
      <t xml:space="preserve">300</t>
    </r>
    <r>
      <rPr>
        <i val="true"/>
        <sz val="10"/>
        <color rgb="FF808080"/>
        <rFont val="Noto Sans CJK SC"/>
        <family val="2"/>
      </rPr>
      <t xml:space="preserve">行，需要把上面几个</t>
    </r>
    <r>
      <rPr>
        <i val="true"/>
        <sz val="10"/>
        <color rgb="FF808080"/>
        <rFont val="Microsoft YaHei"/>
        <family val="0"/>
        <charset val="1"/>
      </rPr>
      <t xml:space="preserve">SUMPRODUCT</t>
    </r>
    <r>
      <rPr>
        <i val="true"/>
        <sz val="10"/>
        <color rgb="FF808080"/>
        <rFont val="Noto Sans CJK SC"/>
        <family val="2"/>
      </rPr>
      <t xml:space="preserve">公式里</t>
    </r>
    <r>
      <rPr>
        <i val="true"/>
        <sz val="10"/>
        <color rgb="FF808080"/>
        <rFont val="Microsoft YaHei"/>
        <family val="0"/>
        <charset val="1"/>
      </rPr>
      <t xml:space="preserve">$3:$302</t>
    </r>
    <r>
      <rPr>
        <i val="true"/>
        <sz val="10"/>
        <color rgb="FF808080"/>
        <rFont val="Noto Sans CJK SC"/>
        <family val="2"/>
      </rPr>
      <t xml:space="preserve">这个区域范围同步扩大。</t>
    </r>
  </si>
</sst>
</file>

<file path=xl/styles.xml><?xml version="1.0" encoding="utf-8"?>
<styleSheet xmlns="http://schemas.openxmlformats.org/spreadsheetml/2006/main">
  <numFmts count="2">
    <numFmt numFmtId="164" formatCode="General"/>
    <numFmt numFmtId="165" formatCode="yyyy\-mm\-dd"/>
  </numFmts>
  <fonts count="18">
    <font>
      <sz val="11"/>
      <color theme="1"/>
      <name val="Calibri"/>
      <family val="2"/>
      <charset val="1"/>
    </font>
    <font>
      <sz val="10"/>
      <name val="Arial"/>
      <family val="0"/>
    </font>
    <font>
      <sz val="10"/>
      <name val="Arial"/>
      <family val="0"/>
    </font>
    <font>
      <sz val="10"/>
      <name val="Arial"/>
      <family val="0"/>
    </font>
    <font>
      <b val="true"/>
      <sz val="14"/>
      <color rgb="FF1F4E78"/>
      <name val="Noto Sans CJK SC"/>
      <family val="2"/>
    </font>
    <font>
      <sz val="11"/>
      <name val="Noto Sans CJK SC"/>
      <family val="2"/>
    </font>
    <font>
      <sz val="11"/>
      <name val="Microsoft YaHei"/>
      <family val="0"/>
      <charset val="1"/>
    </font>
    <font>
      <b val="true"/>
      <sz val="12"/>
      <color rgb="FF1F4E78"/>
      <name val="Noto Sans CJK SC"/>
      <family val="2"/>
    </font>
    <font>
      <b val="true"/>
      <sz val="12"/>
      <color rgb="FF1F4E78"/>
      <name val="Microsoft YaHei"/>
      <family val="0"/>
      <charset val="1"/>
    </font>
    <font>
      <b val="true"/>
      <sz val="11"/>
      <name val="Noto Sans CJK SC"/>
      <family val="2"/>
    </font>
    <font>
      <b val="true"/>
      <sz val="11"/>
      <name val="Microsoft YaHei"/>
      <family val="0"/>
      <charset val="1"/>
    </font>
    <font>
      <i val="true"/>
      <sz val="10"/>
      <color rgb="FF808080"/>
      <name val="Noto Sans CJK SC"/>
      <family val="2"/>
    </font>
    <font>
      <i val="true"/>
      <sz val="10"/>
      <color rgb="FF808080"/>
      <name val="Microsoft YaHei"/>
      <family val="0"/>
      <charset val="1"/>
    </font>
    <font>
      <b val="true"/>
      <sz val="10"/>
      <color rgb="FF1F4E78"/>
      <name val="Noto Sans CJK SC"/>
      <family val="2"/>
    </font>
    <font>
      <b val="true"/>
      <sz val="10"/>
      <color rgb="FF1F4E78"/>
      <name val="Microsoft YaHei"/>
      <family val="0"/>
      <charset val="1"/>
    </font>
    <font>
      <i val="true"/>
      <sz val="10"/>
      <color rgb="FF595959"/>
      <name val="Microsoft YaHei"/>
      <family val="0"/>
      <charset val="1"/>
    </font>
    <font>
      <i val="true"/>
      <sz val="10"/>
      <color rgb="FF595959"/>
      <name val="Noto Sans CJK SC"/>
      <family val="2"/>
    </font>
    <font>
      <sz val="10"/>
      <name val="Microsoft YaHei"/>
      <family val="0"/>
      <charset val="1"/>
    </font>
  </fonts>
  <fills count="5">
    <fill>
      <patternFill patternType="none"/>
    </fill>
    <fill>
      <patternFill patternType="gray125"/>
    </fill>
    <fill>
      <patternFill patternType="solid">
        <fgColor rgb="FFDDEBF7"/>
        <bgColor rgb="FFF2F2F2"/>
      </patternFill>
    </fill>
    <fill>
      <patternFill patternType="solid">
        <fgColor rgb="FFFFF2CC"/>
        <bgColor rgb="FFF2F2F2"/>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5" fontId="15" fillId="4" borderId="1"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4" fontId="16" fillId="4"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DEBF7"/>
          <bgColor rgb="FF000000"/>
        </patternFill>
      </fill>
    </dxf>
    <dxf>
      <fill>
        <patternFill patternType="solid">
          <fgColor rgb="FFF2F2F2"/>
          <bgColor rgb="FF000000"/>
        </patternFill>
      </fill>
    </dxf>
    <dxf>
      <fill>
        <patternFill patternType="solid">
          <bgColor rgb="FF000000"/>
        </patternFill>
      </fill>
    </dxf>
    <dxf>
      <fill>
        <patternFill patternType="solid">
          <fgColor rgb="FF1F4E78"/>
          <bgColor rgb="FF000000"/>
        </patternFill>
      </fill>
    </dxf>
    <dxf>
      <fill>
        <patternFill patternType="solid">
          <fgColor rgb="FF595959"/>
          <bgColor rgb="FF000000"/>
        </patternFill>
      </fill>
    </dxf>
    <dxf>
      <fill>
        <patternFill patternType="solid">
          <fgColor rgb="FFFFF2CC"/>
          <bgColor rgb="FF000000"/>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0"/>
  </cols>
  <sheetData>
    <row r="2" customFormat="false" ht="21.6" hidden="false" customHeight="false" outlineLevel="0" collapsed="false">
      <c r="B2" s="1" t="s">
        <v>0</v>
      </c>
    </row>
    <row r="4" customFormat="false" ht="48" hidden="false" customHeight="true" outlineLevel="0" collapsed="false">
      <c r="B4" s="2" t="s">
        <v>1</v>
      </c>
    </row>
    <row r="6" customFormat="false" ht="19.4" hidden="false" customHeight="false" outlineLevel="0" collapsed="false">
      <c r="B6" s="3" t="s">
        <v>2</v>
      </c>
    </row>
    <row r="7" customFormat="false" ht="31.5" hidden="false" customHeight="true" outlineLevel="0" collapsed="false">
      <c r="B7" s="4" t="s">
        <v>3</v>
      </c>
    </row>
    <row r="8" customFormat="false" ht="31.5" hidden="false" customHeight="true" outlineLevel="0" collapsed="false">
      <c r="B8" s="5" t="s">
        <v>4</v>
      </c>
    </row>
    <row r="10" customFormat="false" ht="19.4" hidden="false" customHeight="false" outlineLevel="0" collapsed="false">
      <c r="B10" s="3" t="s">
        <v>5</v>
      </c>
    </row>
    <row r="11" customFormat="false" ht="17.15" hidden="false" customHeight="false" outlineLevel="0" collapsed="false">
      <c r="B11" s="6" t="s">
        <v>6</v>
      </c>
    </row>
    <row r="12" customFormat="false" ht="30" hidden="false" customHeight="true" outlineLevel="0" collapsed="false">
      <c r="B12" s="2" t="s">
        <v>7</v>
      </c>
    </row>
    <row r="13" customFormat="false" ht="17.15" hidden="false" customHeight="false" outlineLevel="0" collapsed="false">
      <c r="B13" s="6" t="s">
        <v>8</v>
      </c>
    </row>
    <row r="14" customFormat="false" ht="30" hidden="false" customHeight="true" outlineLevel="0" collapsed="false">
      <c r="B14" s="2" t="s">
        <v>9</v>
      </c>
    </row>
    <row r="15" customFormat="false" ht="17.15" hidden="false" customHeight="false" outlineLevel="0" collapsed="false">
      <c r="B15" s="6" t="s">
        <v>10</v>
      </c>
    </row>
    <row r="16" customFormat="false" ht="30" hidden="false" customHeight="true" outlineLevel="0" collapsed="false">
      <c r="B16" s="2" t="s">
        <v>11</v>
      </c>
    </row>
    <row r="17" customFormat="false" ht="17.15" hidden="false" customHeight="false" outlineLevel="0" collapsed="false">
      <c r="B17" s="6" t="s">
        <v>12</v>
      </c>
    </row>
    <row r="18" customFormat="false" ht="30" hidden="false" customHeight="true" outlineLevel="0" collapsed="false">
      <c r="B18" s="2" t="s">
        <v>13</v>
      </c>
    </row>
    <row r="19" customFormat="false" ht="17.15" hidden="false" customHeight="false" outlineLevel="0" collapsed="false">
      <c r="B19" s="6" t="s">
        <v>14</v>
      </c>
    </row>
    <row r="20" customFormat="false" ht="30" hidden="false" customHeight="true" outlineLevel="0" collapsed="false">
      <c r="B20" s="2" t="s">
        <v>15</v>
      </c>
    </row>
    <row r="21" customFormat="false" ht="17.15" hidden="false" customHeight="false" outlineLevel="0" collapsed="false">
      <c r="B21" s="6" t="s">
        <v>16</v>
      </c>
    </row>
    <row r="22" customFormat="false" ht="30" hidden="false" customHeight="true" outlineLevel="0" collapsed="false">
      <c r="B22" s="2" t="s">
        <v>17</v>
      </c>
    </row>
    <row r="23" customFormat="false" ht="17.15" hidden="false" customHeight="false" outlineLevel="0" collapsed="false">
      <c r="B23" s="6" t="s">
        <v>18</v>
      </c>
    </row>
    <row r="24" customFormat="false" ht="30" hidden="false" customHeight="true" outlineLevel="0" collapsed="false">
      <c r="B24" s="7" t="s">
        <v>19</v>
      </c>
    </row>
    <row r="25" customFormat="false" ht="17.15" hidden="false" customHeight="false" outlineLevel="0" collapsed="false">
      <c r="B25" s="6" t="s">
        <v>20</v>
      </c>
    </row>
    <row r="26" customFormat="false" ht="30" hidden="false" customHeight="true" outlineLevel="0" collapsed="false">
      <c r="B26" s="2" t="s">
        <v>21</v>
      </c>
    </row>
    <row r="27" customFormat="false" ht="17.15" hidden="false" customHeight="false" outlineLevel="0" collapsed="false">
      <c r="B27" s="6" t="s">
        <v>22</v>
      </c>
    </row>
    <row r="28" customFormat="false" ht="30" hidden="false" customHeight="true" outlineLevel="0" collapsed="false">
      <c r="B28" s="2" t="s">
        <v>23</v>
      </c>
    </row>
    <row r="29" customFormat="false" ht="17.15" hidden="false" customHeight="false" outlineLevel="0" collapsed="false">
      <c r="B29" s="6" t="s">
        <v>24</v>
      </c>
    </row>
    <row r="30" customFormat="false" ht="30" hidden="false" customHeight="true" outlineLevel="0" collapsed="false">
      <c r="B30" s="2" t="s">
        <v>25</v>
      </c>
    </row>
    <row r="31" customFormat="false" ht="17.15" hidden="false" customHeight="false" outlineLevel="0" collapsed="false">
      <c r="B31" s="6" t="s">
        <v>26</v>
      </c>
    </row>
    <row r="32" customFormat="false" ht="30" hidden="false" customHeight="true" outlineLevel="0" collapsed="false">
      <c r="B32" s="7" t="s">
        <v>27</v>
      </c>
    </row>
    <row r="33" customFormat="false" ht="17.15" hidden="false" customHeight="false" outlineLevel="0" collapsed="false">
      <c r="B33" s="6" t="s">
        <v>28</v>
      </c>
    </row>
    <row r="34" customFormat="false" ht="30" hidden="false" customHeight="true" outlineLevel="0" collapsed="false">
      <c r="B34" s="2" t="s">
        <v>29</v>
      </c>
    </row>
    <row r="35" customFormat="false" ht="17.15" hidden="false" customHeight="false" outlineLevel="0" collapsed="false">
      <c r="B35" s="6" t="s">
        <v>30</v>
      </c>
    </row>
    <row r="36" customFormat="false" ht="30" hidden="false" customHeight="true" outlineLevel="0" collapsed="false">
      <c r="B36" s="2" t="s">
        <v>31</v>
      </c>
    </row>
    <row r="37" customFormat="false" ht="17.15" hidden="false" customHeight="false" outlineLevel="0" collapsed="false">
      <c r="B37" s="6" t="s">
        <v>32</v>
      </c>
    </row>
    <row r="38" customFormat="false" ht="30" hidden="false" customHeight="true" outlineLevel="0" collapsed="false">
      <c r="B38" s="2" t="s">
        <v>33</v>
      </c>
    </row>
    <row r="39" customFormat="false" ht="17.15" hidden="false" customHeight="false" outlineLevel="0" collapsed="false">
      <c r="B39" s="6" t="s">
        <v>34</v>
      </c>
    </row>
    <row r="40" customFormat="false" ht="30" hidden="false" customHeight="true" outlineLevel="0" collapsed="false">
      <c r="B40" s="2" t="s">
        <v>35</v>
      </c>
    </row>
    <row r="41" customFormat="false" ht="17.15" hidden="false" customHeight="false" outlineLevel="0" collapsed="false">
      <c r="B41" s="6" t="s">
        <v>36</v>
      </c>
    </row>
    <row r="42" customFormat="false" ht="30" hidden="false" customHeight="true" outlineLevel="0" collapsed="false">
      <c r="B42" s="2" t="s">
        <v>37</v>
      </c>
    </row>
    <row r="44" customFormat="false" ht="19.4" hidden="false" customHeight="false" outlineLevel="0" collapsed="false">
      <c r="B44" s="3" t="s">
        <v>38</v>
      </c>
    </row>
    <row r="45" customFormat="false" ht="63.75" hidden="false" customHeight="true" outlineLevel="0" collapsed="false">
      <c r="B45" s="2" t="s">
        <v>39</v>
      </c>
    </row>
    <row r="47" customFormat="false" ht="63.75" hidden="false" customHeight="true" outlineLevel="0" collapsed="false">
      <c r="B47" s="8"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5" min="2" style="0" width="10"/>
    <col collapsed="false" customWidth="true" hidden="false" outlineLevel="0" max="6" min="6" style="0" width="12"/>
    <col collapsed="false" customWidth="true" hidden="false" outlineLevel="0" max="7" min="7" style="0" width="10"/>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10"/>
    <col collapsed="false" customWidth="true" hidden="false" outlineLevel="0" max="14" min="12" style="0" width="12"/>
    <col collapsed="false" customWidth="true" hidden="false" outlineLevel="0" max="16" min="15" style="0" width="9"/>
    <col collapsed="false" customWidth="true" hidden="false" outlineLevel="0" max="18" min="17" style="0" width="10"/>
    <col collapsed="false" customWidth="true" hidden="false" outlineLevel="0" max="20" min="19" style="0" width="16"/>
    <col collapsed="false" customWidth="true" hidden="false" outlineLevel="0" max="21" min="21" style="0" width="10"/>
    <col collapsed="false" customWidth="true" hidden="false" outlineLevel="0" max="22" min="22" style="0" width="14"/>
    <col collapsed="false" customWidth="true" hidden="false" outlineLevel="0" max="23" min="23" style="0" width="22"/>
    <col collapsed="false" customWidth="true" hidden="false" outlineLevel="0" max="24" min="24" style="0" width="20"/>
    <col collapsed="false" customWidth="true" hidden="false" outlineLevel="0" max="25" min="25" style="0" width="28"/>
    <col collapsed="false" customWidth="true" hidden="false" outlineLevel="0" max="26" min="26" style="0" width="24"/>
    <col collapsed="false" customWidth="true" hidden="false" outlineLevel="0" max="28" min="27" style="0" width="18"/>
    <col collapsed="false" customWidth="true" hidden="false" outlineLevel="0" max="29" min="29" style="0" width="10"/>
    <col collapsed="false" customWidth="true" hidden="false" outlineLevel="0" max="30" min="30" style="0" width="24"/>
    <col collapsed="false" customWidth="true" hidden="false" outlineLevel="0" max="31" min="31" style="0" width="20"/>
  </cols>
  <sheetData>
    <row r="1" customFormat="false" ht="30" hidden="false" customHeight="true" outlineLevel="0" collapsed="false">
      <c r="A1" s="9" t="s">
        <v>41</v>
      </c>
      <c r="B1" s="9" t="s">
        <v>42</v>
      </c>
      <c r="C1" s="9" t="s">
        <v>43</v>
      </c>
      <c r="D1" s="9" t="s">
        <v>44</v>
      </c>
      <c r="E1" s="9" t="s">
        <v>45</v>
      </c>
      <c r="F1" s="9" t="s">
        <v>46</v>
      </c>
      <c r="G1" s="9" t="s">
        <v>47</v>
      </c>
      <c r="H1" s="9" t="s">
        <v>48</v>
      </c>
      <c r="I1" s="9" t="s">
        <v>49</v>
      </c>
      <c r="J1" s="9" t="s">
        <v>50</v>
      </c>
      <c r="K1" s="9" t="s">
        <v>51</v>
      </c>
      <c r="L1" s="9" t="s">
        <v>52</v>
      </c>
      <c r="M1" s="9" t="s">
        <v>53</v>
      </c>
      <c r="N1" s="9" t="s">
        <v>54</v>
      </c>
      <c r="O1" s="9" t="s">
        <v>55</v>
      </c>
      <c r="P1" s="9" t="s">
        <v>56</v>
      </c>
      <c r="Q1" s="9" t="s">
        <v>57</v>
      </c>
      <c r="R1" s="9" t="s">
        <v>58</v>
      </c>
      <c r="S1" s="9" t="s">
        <v>59</v>
      </c>
      <c r="T1" s="9" t="s">
        <v>60</v>
      </c>
      <c r="U1" s="10" t="s">
        <v>61</v>
      </c>
      <c r="V1" s="9" t="s">
        <v>62</v>
      </c>
      <c r="W1" s="9" t="s">
        <v>63</v>
      </c>
      <c r="X1" s="11" t="s">
        <v>64</v>
      </c>
      <c r="Y1" s="11" t="s">
        <v>65</v>
      </c>
      <c r="Z1" s="11" t="s">
        <v>66</v>
      </c>
      <c r="AA1" s="11" t="s">
        <v>67</v>
      </c>
      <c r="AB1" s="11" t="s">
        <v>68</v>
      </c>
      <c r="AC1" s="11" t="s">
        <v>69</v>
      </c>
      <c r="AD1" s="11" t="s">
        <v>70</v>
      </c>
      <c r="AE1" s="11" t="s">
        <v>71</v>
      </c>
    </row>
    <row r="2" customFormat="false" ht="60" hidden="false" customHeight="true" outlineLevel="0" collapsed="false">
      <c r="A2" s="12" t="n">
        <v>46244</v>
      </c>
      <c r="B2" s="13" t="s">
        <v>72</v>
      </c>
      <c r="C2" s="13" t="n">
        <v>1446</v>
      </c>
      <c r="D2" s="13" t="n">
        <v>-1.7</v>
      </c>
      <c r="E2" s="13" t="n">
        <v>2</v>
      </c>
      <c r="F2" s="14" t="s">
        <v>73</v>
      </c>
      <c r="G2" s="14" t="s">
        <v>74</v>
      </c>
      <c r="H2" s="13" t="n">
        <v>56</v>
      </c>
      <c r="I2" s="13" t="n">
        <v>92</v>
      </c>
      <c r="J2" s="14" t="s">
        <v>75</v>
      </c>
      <c r="K2" s="14" t="s">
        <v>74</v>
      </c>
      <c r="L2" s="13" t="n">
        <v>30</v>
      </c>
      <c r="M2" s="14" t="s">
        <v>76</v>
      </c>
      <c r="N2" s="14" t="s">
        <v>77</v>
      </c>
      <c r="O2" s="13" t="n">
        <v>-6.6</v>
      </c>
      <c r="P2" s="14" t="s">
        <v>78</v>
      </c>
      <c r="Q2" s="13" t="n">
        <v>378176</v>
      </c>
      <c r="R2" s="13" t="n">
        <v>11597</v>
      </c>
      <c r="S2" s="14" t="s">
        <v>77</v>
      </c>
      <c r="T2" s="14" t="s">
        <v>79</v>
      </c>
      <c r="U2" s="14" t="s">
        <v>80</v>
      </c>
      <c r="V2" s="14" t="s">
        <v>76</v>
      </c>
      <c r="W2" s="13"/>
      <c r="X2" s="14" t="s">
        <v>77</v>
      </c>
      <c r="Y2" s="14" t="s">
        <v>81</v>
      </c>
      <c r="Z2" s="14" t="s">
        <v>77</v>
      </c>
      <c r="AA2" s="14" t="s">
        <v>82</v>
      </c>
      <c r="AB2" s="14" t="s">
        <v>83</v>
      </c>
      <c r="AC2" s="14" t="s">
        <v>76</v>
      </c>
      <c r="AD2" s="13"/>
      <c r="AE2" s="14" t="s">
        <v>84</v>
      </c>
    </row>
    <row r="3" customFormat="false" ht="15" hidden="false" customHeight="false" outlineLevel="0" collapsed="false">
      <c r="A3" s="15"/>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row>
    <row r="4" customFormat="false" ht="15" hidden="false" customHeight="false" outlineLevel="0" collapsed="false">
      <c r="A4" s="15"/>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row>
    <row r="5" customFormat="false" ht="15" hidden="false" customHeight="false" outlineLevel="0" collapsed="false">
      <c r="A5" s="15"/>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row>
    <row r="6" customFormat="false" ht="15" hidden="false" customHeight="false" outlineLevel="0" collapsed="false">
      <c r="A6" s="15"/>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c r="AE6" s="15"/>
    </row>
    <row r="7" customFormat="false" ht="15" hidden="false" customHeight="false" outlineLevel="0" collapsed="false">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row>
    <row r="8" customFormat="false" ht="15" hidden="false" customHeight="false" outlineLevel="0" collapsed="false">
      <c r="A8" s="15"/>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row>
    <row r="9" customFormat="false" ht="15" hidden="false" customHeight="false" outlineLevel="0" collapsed="false">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row>
    <row r="10" customFormat="false" ht="15" hidden="false" customHeight="false" outlineLevel="0" collapsed="false">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row>
    <row r="11" customFormat="false" ht="15" hidden="false" customHeight="false" outlineLevel="0" collapsed="false">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row>
    <row r="12" customFormat="false" ht="15" hidden="false" customHeight="false" outlineLevel="0" collapsed="false">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row>
    <row r="13" customFormat="false" ht="15" hidden="false" customHeight="false" outlineLevel="0" collapsed="false">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row>
    <row r="14" customFormat="false" ht="15" hidden="false" customHeight="false" outlineLevel="0" collapsed="false">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row>
    <row r="15" customFormat="false" ht="15" hidden="false" customHeight="false" outlineLevel="0" collapsed="false">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row>
    <row r="16" customFormat="false" ht="15" hidden="false" customHeight="false" outlineLevel="0" collapsed="false">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row>
    <row r="17" customFormat="false" ht="15" hidden="false" customHeight="fals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row>
    <row r="18" customFormat="false" ht="15" hidden="false" customHeight="false" outlineLevel="0" collapsed="false">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row>
    <row r="19" customFormat="false" ht="15" hidden="false" customHeight="false" outlineLevel="0" collapsed="false">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row>
    <row r="20" customFormat="false" ht="15" hidden="false" customHeight="false" outlineLevel="0" collapsed="false">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row>
    <row r="21" customFormat="false" ht="15" hidden="false" customHeight="false" outlineLevel="0" collapsed="false">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row>
    <row r="22" customFormat="false" ht="15" hidden="false" customHeight="false" outlineLevel="0" collapsed="false">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row>
    <row r="23" customFormat="false" ht="15" hidden="false" customHeight="false" outlineLevel="0" collapsed="false">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row>
    <row r="24" customFormat="false" ht="15" hidden="false" customHeight="false" outlineLevel="0" collapsed="false">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row>
    <row r="25" customFormat="false" ht="15" hidden="false" customHeight="false" outlineLevel="0" collapsed="false">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row>
    <row r="26" customFormat="false" ht="15" hidden="false" customHeight="false" outlineLevel="0" collapsed="false">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row>
    <row r="27" customFormat="false" ht="15" hidden="false" customHeight="false" outlineLevel="0" collapsed="false">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row>
    <row r="28" customFormat="false" ht="15" hidden="false" customHeight="false" outlineLevel="0" collapsed="false">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row>
    <row r="29" customFormat="false" ht="15" hidden="false" customHeight="false" outlineLevel="0" collapsed="false">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row>
    <row r="30" customFormat="false" ht="15" hidden="false" customHeight="false" outlineLevel="0" collapsed="false">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row>
    <row r="31" customFormat="false" ht="15" hidden="false" customHeight="false" outlineLevel="0" collapsed="false">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row>
    <row r="32" customFormat="false" ht="15" hidden="false" customHeight="false" outlineLevel="0" collapsed="false">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row>
    <row r="33" customFormat="false" ht="15" hidden="false" customHeight="false" outlineLevel="0" collapsed="false">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row>
    <row r="34" customFormat="false" ht="15" hidden="false" customHeight="false" outlineLevel="0" collapsed="false">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row>
    <row r="35" customFormat="false" ht="15" hidden="false" customHeight="false" outlineLevel="0" collapsed="false">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row>
    <row r="36" customFormat="false" ht="15" hidden="false" customHeight="false" outlineLevel="0" collapsed="false">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row>
    <row r="37" customFormat="false" ht="15" hidden="false" customHeight="false" outlineLevel="0" collapsed="false">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row>
    <row r="38" customFormat="false" ht="15" hidden="false" customHeight="false" outlineLevel="0" collapsed="false">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row>
    <row r="39" customFormat="false" ht="15" hidden="false" customHeight="false" outlineLevel="0" collapsed="false">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row>
    <row r="40" customFormat="false" ht="15" hidden="false" customHeight="false" outlineLevel="0" collapsed="false">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row>
    <row r="41" customFormat="false" ht="15" hidden="false" customHeight="false" outlineLevel="0" collapsed="false">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row>
    <row r="42" customFormat="false" ht="15" hidden="false" customHeight="false" outlineLevel="0" collapsed="false">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row>
    <row r="43" customFormat="false" ht="15" hidden="false" customHeight="false" outlineLevel="0" collapsed="false">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row>
    <row r="44" customFormat="false" ht="15" hidden="false" customHeight="false" outlineLevel="0" collapsed="false">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row>
    <row r="45" customFormat="false" ht="15" hidden="false" customHeight="false" outlineLevel="0" collapsed="false">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row>
    <row r="46" customFormat="false" ht="15" hidden="false" customHeight="false" outlineLevel="0" collapsed="false">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row>
    <row r="47" customFormat="false" ht="15" hidden="false" customHeight="false" outlineLevel="0" collapsed="false">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row>
    <row r="48" customFormat="false" ht="15" hidden="false" customHeight="false" outlineLevel="0" collapsed="false">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row>
    <row r="49" customFormat="false" ht="15" hidden="false" customHeight="false" outlineLevel="0" collapsed="false">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row>
    <row r="50" customFormat="false" ht="15" hidden="false" customHeight="false" outlineLevel="0" collapsed="false">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row>
    <row r="51" customFormat="false" ht="15" hidden="false" customHeight="false" outlineLevel="0" collapsed="false">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row>
    <row r="52" customFormat="false" ht="15" hidden="false" customHeight="false" outlineLevel="0" collapsed="false">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row>
    <row r="53" customFormat="false" ht="15" hidden="false" customHeight="false" outlineLevel="0" collapsed="false">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row>
    <row r="54" customFormat="false" ht="15" hidden="false" customHeight="false" outlineLevel="0" collapsed="false">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row>
    <row r="55" customFormat="false" ht="15" hidden="false" customHeight="false" outlineLevel="0" collapsed="false">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row>
    <row r="56" customFormat="false" ht="15" hidden="false" customHeight="false" outlineLevel="0" collapsed="false">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row>
    <row r="57" customFormat="false" ht="15" hidden="false" customHeight="false" outlineLevel="0" collapsed="false">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row>
    <row r="58" customFormat="false" ht="15" hidden="false" customHeight="false" outlineLevel="0" collapsed="false">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row>
    <row r="59" customFormat="false" ht="15" hidden="false" customHeight="false" outlineLevel="0" collapsed="false">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row>
    <row r="60" customFormat="false" ht="15" hidden="false" customHeight="false" outlineLevel="0" collapsed="false">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row>
    <row r="61" customFormat="false" ht="15" hidden="false" customHeight="false" outlineLevel="0" collapsed="false">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row>
    <row r="62" customFormat="false" ht="15" hidden="false" customHeight="false" outlineLevel="0" collapsed="false">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row>
    <row r="63" customFormat="false" ht="15" hidden="false" customHeight="false" outlineLevel="0" collapsed="false">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row>
    <row r="64" customFormat="false" ht="15" hidden="false" customHeight="false" outlineLevel="0" collapsed="false">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row>
    <row r="65" customFormat="false" ht="15" hidden="false" customHeight="false" outlineLevel="0" collapsed="false">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row>
    <row r="66" customFormat="false" ht="15" hidden="false" customHeight="false" outlineLevel="0" collapsed="false">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row>
    <row r="67" customFormat="false" ht="15" hidden="false" customHeight="false" outlineLevel="0" collapsed="false">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row>
    <row r="68" customFormat="false" ht="15" hidden="false" customHeight="false" outlineLevel="0" collapsed="false">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row>
    <row r="69" customFormat="false" ht="15" hidden="false" customHeight="false" outlineLevel="0" collapsed="false">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row>
    <row r="70" customFormat="false" ht="15" hidden="false" customHeight="false" outlineLevel="0" collapsed="false">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row>
    <row r="71" customFormat="false" ht="15" hidden="false" customHeight="false" outlineLevel="0" collapsed="false">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row>
    <row r="72" customFormat="false" ht="15" hidden="false" customHeight="false" outlineLevel="0" collapsed="false">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row>
    <row r="73" customFormat="false" ht="15" hidden="false" customHeight="false" outlineLevel="0" collapsed="false">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row>
    <row r="74" customFormat="false" ht="15" hidden="false" customHeight="false" outlineLevel="0" collapsed="false">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row>
    <row r="75" customFormat="false" ht="15" hidden="false" customHeight="false" outlineLevel="0" collapsed="false">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row>
    <row r="76" customFormat="false" ht="15" hidden="false" customHeight="false" outlineLevel="0" collapsed="false">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row>
    <row r="77" customFormat="false" ht="15" hidden="false" customHeight="false" outlineLevel="0" collapsed="false">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row>
    <row r="78" customFormat="false" ht="15" hidden="false" customHeight="false" outlineLevel="0" collapsed="false">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row>
    <row r="79" customFormat="false" ht="15" hidden="false" customHeight="false" outlineLevel="0" collapsed="false">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row>
    <row r="80" customFormat="false" ht="15" hidden="false" customHeight="false" outlineLevel="0" collapsed="false">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row>
    <row r="81" customFormat="false" ht="15" hidden="false" customHeight="false" outlineLevel="0" collapsed="false">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row>
    <row r="82" customFormat="false" ht="15" hidden="false" customHeight="false" outlineLevel="0" collapsed="false">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row>
    <row r="83" customFormat="false" ht="15" hidden="false" customHeight="false" outlineLevel="0" collapsed="false">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row>
    <row r="84" customFormat="false" ht="15" hidden="false" customHeight="false" outlineLevel="0" collapsed="false">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row>
    <row r="85" customFormat="false" ht="15" hidden="false" customHeight="false" outlineLevel="0" collapsed="false">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row>
    <row r="86" customFormat="false" ht="15" hidden="false" customHeight="false" outlineLevel="0" collapsed="false">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row>
    <row r="87" customFormat="false" ht="15" hidden="false" customHeight="false" outlineLevel="0" collapsed="false">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row>
    <row r="88" customFormat="false" ht="15" hidden="false" customHeight="false" outlineLevel="0" collapsed="false">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row>
    <row r="89" customFormat="false" ht="15" hidden="false" customHeight="false" outlineLevel="0" collapsed="false">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row>
    <row r="90" customFormat="false" ht="15" hidden="false" customHeight="false" outlineLevel="0" collapsed="false">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row>
    <row r="91" customFormat="false" ht="15" hidden="false" customHeight="false" outlineLevel="0" collapsed="false">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row>
    <row r="92" customFormat="false" ht="15" hidden="false" customHeight="false" outlineLevel="0" collapsed="false">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row>
    <row r="93" customFormat="false" ht="15" hidden="false" customHeight="false" outlineLevel="0" collapsed="false">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row>
    <row r="94" customFormat="false" ht="15" hidden="false" customHeight="false" outlineLevel="0" collapsed="false">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row>
    <row r="95" customFormat="false" ht="15" hidden="false" customHeight="false" outlineLevel="0" collapsed="false">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row>
    <row r="96" customFormat="false" ht="15" hidden="false" customHeight="false" outlineLevel="0" collapsed="false">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row>
    <row r="97" customFormat="false" ht="15" hidden="false" customHeight="false" outlineLevel="0" collapsed="false">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row>
    <row r="98" customFormat="false" ht="15" hidden="false" customHeight="false" outlineLevel="0" collapsed="false">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row>
    <row r="99" customFormat="false" ht="15" hidden="false" customHeight="false" outlineLevel="0" collapsed="false">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row>
    <row r="100" customFormat="false" ht="15" hidden="false" customHeight="false" outlineLevel="0" collapsed="false">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row>
    <row r="101" customFormat="false" ht="15" hidden="false" customHeight="false" outlineLevel="0" collapsed="false">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row>
    <row r="102" customFormat="false" ht="15" hidden="false" customHeight="false" outlineLevel="0" collapsed="false">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row>
    <row r="103" customFormat="false" ht="15" hidden="false" customHeight="false" outlineLevel="0" collapsed="false">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row>
    <row r="104" customFormat="false" ht="15" hidden="false" customHeight="false" outlineLevel="0" collapsed="false">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row>
    <row r="105" customFormat="false" ht="15" hidden="false" customHeight="false" outlineLevel="0" collapsed="false">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row>
    <row r="106" customFormat="false" ht="15" hidden="false" customHeight="false" outlineLevel="0" collapsed="false">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row>
    <row r="107" customFormat="false" ht="15" hidden="false" customHeight="false" outlineLevel="0" collapsed="false">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row>
    <row r="108" customFormat="false" ht="15" hidden="false" customHeight="false" outlineLevel="0" collapsed="false">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row>
    <row r="109" customFormat="false" ht="15" hidden="false" customHeight="false" outlineLevel="0" collapsed="false">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row>
    <row r="110" customFormat="false" ht="15" hidden="false" customHeight="false" outlineLevel="0" collapsed="false">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row>
    <row r="111" customFormat="false" ht="15" hidden="false" customHeight="false" outlineLevel="0" collapsed="false">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row>
    <row r="112" customFormat="false" ht="15" hidden="false" customHeight="false" outlineLevel="0" collapsed="false">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row>
    <row r="113" customFormat="false" ht="15" hidden="false" customHeight="false" outlineLevel="0" collapsed="false">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row>
    <row r="114" customFormat="false" ht="15" hidden="false" customHeight="false" outlineLevel="0" collapsed="false">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row>
    <row r="115" customFormat="false" ht="15" hidden="false" customHeight="false" outlineLevel="0" collapsed="false">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row>
    <row r="116" customFormat="false" ht="15" hidden="false" customHeight="false" outlineLevel="0" collapsed="false">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row>
    <row r="117" customFormat="false" ht="15" hidden="false" customHeight="false" outlineLevel="0" collapsed="false">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row>
    <row r="118" customFormat="false" ht="15" hidden="false" customHeight="false" outlineLevel="0" collapsed="false">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row>
    <row r="119" customFormat="false" ht="15" hidden="false" customHeight="false" outlineLevel="0" collapsed="false">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row>
    <row r="120" customFormat="false" ht="15" hidden="false" customHeight="false" outlineLevel="0" collapsed="false">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row>
    <row r="121" customFormat="false" ht="15" hidden="false" customHeight="false" outlineLevel="0" collapsed="false">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row>
    <row r="122" customFormat="false" ht="15" hidden="false" customHeight="false" outlineLevel="0" collapsed="false">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row>
    <row r="123" customFormat="false" ht="15" hidden="false" customHeight="false" outlineLevel="0" collapsed="false">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row>
    <row r="124" customFormat="false" ht="15" hidden="false" customHeight="false" outlineLevel="0" collapsed="false">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row>
    <row r="125" customFormat="false" ht="15" hidden="false" customHeight="false" outlineLevel="0" collapsed="false">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row>
    <row r="126" customFormat="false" ht="15" hidden="false" customHeight="false" outlineLevel="0" collapsed="false">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row>
    <row r="127" customFormat="false" ht="15" hidden="false" customHeight="false" outlineLevel="0" collapsed="false">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row>
    <row r="128" customFormat="false" ht="15" hidden="false" customHeight="false" outlineLevel="0" collapsed="false">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row>
    <row r="129" customFormat="false" ht="15" hidden="false" customHeight="false" outlineLevel="0" collapsed="false">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row>
    <row r="130" customFormat="false" ht="15" hidden="false" customHeight="false" outlineLevel="0" collapsed="false">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row>
    <row r="131" customFormat="false" ht="15" hidden="false" customHeight="false" outlineLevel="0" collapsed="false">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row>
    <row r="132" customFormat="false" ht="15" hidden="false" customHeight="false" outlineLevel="0" collapsed="false">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row>
    <row r="133" customFormat="false" ht="15" hidden="false" customHeight="false" outlineLevel="0" collapsed="false">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row>
    <row r="134" customFormat="false" ht="15" hidden="false" customHeight="false" outlineLevel="0" collapsed="false">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row>
    <row r="135" customFormat="false" ht="15" hidden="false" customHeight="false" outlineLevel="0" collapsed="false">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row>
    <row r="136" customFormat="false" ht="15" hidden="false" customHeight="false" outlineLevel="0" collapsed="false">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row>
    <row r="137" customFormat="false" ht="15" hidden="false" customHeight="false" outlineLevel="0" collapsed="false">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row>
    <row r="138" customFormat="false" ht="15" hidden="false" customHeight="false" outlineLevel="0" collapsed="false">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row>
    <row r="139" customFormat="false" ht="15" hidden="false" customHeight="false" outlineLevel="0" collapsed="false">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row>
    <row r="140" customFormat="false" ht="15" hidden="false" customHeight="false" outlineLevel="0" collapsed="false">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row>
    <row r="141" customFormat="false" ht="15" hidden="false" customHeight="false" outlineLevel="0" collapsed="false">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row>
    <row r="142" customFormat="false" ht="15" hidden="false" customHeight="false" outlineLevel="0" collapsed="false">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row>
    <row r="143" customFormat="false" ht="15" hidden="false" customHeight="false" outlineLevel="0" collapsed="false">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row>
    <row r="144" customFormat="false" ht="15" hidden="false" customHeight="false" outlineLevel="0" collapsed="false">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row>
    <row r="145" customFormat="false" ht="15" hidden="false" customHeight="false" outlineLevel="0" collapsed="false">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row>
    <row r="146" customFormat="false" ht="15" hidden="false" customHeight="false" outlineLevel="0" collapsed="false">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row>
    <row r="147" customFormat="false" ht="15" hidden="false" customHeight="false" outlineLevel="0" collapsed="false">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row>
    <row r="148" customFormat="false" ht="15" hidden="false" customHeight="false" outlineLevel="0" collapsed="false">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row>
    <row r="149" customFormat="false" ht="15" hidden="false" customHeight="false" outlineLevel="0" collapsed="false">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row>
    <row r="150" customFormat="false" ht="15" hidden="false" customHeight="false" outlineLevel="0" collapsed="false">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row>
    <row r="151" customFormat="false" ht="15" hidden="false" customHeight="false" outlineLevel="0" collapsed="false">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row>
    <row r="152" customFormat="false" ht="15" hidden="false" customHeight="false" outlineLevel="0" collapsed="false">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row>
    <row r="153" customFormat="false" ht="15" hidden="false" customHeight="false" outlineLevel="0" collapsed="false">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row>
    <row r="154" customFormat="false" ht="15" hidden="false" customHeight="false" outlineLevel="0" collapsed="false">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row>
    <row r="155" customFormat="false" ht="15" hidden="false" customHeight="false" outlineLevel="0" collapsed="false">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row>
    <row r="156" customFormat="false" ht="15" hidden="false" customHeight="false" outlineLevel="0" collapsed="false">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row>
    <row r="157" customFormat="false" ht="15" hidden="false" customHeight="false" outlineLevel="0" collapsed="false">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row>
    <row r="158" customFormat="false" ht="15" hidden="false" customHeight="false" outlineLevel="0" collapsed="false">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row>
    <row r="159" customFormat="false" ht="15" hidden="false" customHeight="false" outlineLevel="0" collapsed="false">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row>
    <row r="160" customFormat="false" ht="15" hidden="false" customHeight="false" outlineLevel="0" collapsed="false">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row>
    <row r="161" customFormat="false" ht="15" hidden="false" customHeight="false" outlineLevel="0" collapsed="false">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row>
    <row r="162" customFormat="false" ht="15" hidden="false" customHeight="false" outlineLevel="0" collapsed="false">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row>
    <row r="163" customFormat="false" ht="15" hidden="false" customHeight="false" outlineLevel="0" collapsed="false">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row>
    <row r="164" customFormat="false" ht="15" hidden="false" customHeight="false" outlineLevel="0" collapsed="false">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row>
    <row r="165" customFormat="false" ht="15" hidden="false" customHeight="false" outlineLevel="0" collapsed="false">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row>
    <row r="166" customFormat="false" ht="15" hidden="false" customHeight="false" outlineLevel="0" collapsed="false">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row>
    <row r="167" customFormat="false" ht="15" hidden="false" customHeight="false" outlineLevel="0" collapsed="false">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row>
    <row r="168" customFormat="false" ht="15" hidden="false" customHeight="false" outlineLevel="0" collapsed="false">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row>
    <row r="169" customFormat="false" ht="15" hidden="false" customHeight="false" outlineLevel="0" collapsed="false">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row>
    <row r="170" customFormat="false" ht="15" hidden="false" customHeight="false" outlineLevel="0" collapsed="false">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row>
    <row r="171" customFormat="false" ht="15" hidden="false" customHeight="false" outlineLevel="0" collapsed="false">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row>
    <row r="172" customFormat="false" ht="15" hidden="false" customHeight="false" outlineLevel="0" collapsed="false">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row>
    <row r="173" customFormat="false" ht="15" hidden="false" customHeight="false" outlineLevel="0" collapsed="false">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row>
    <row r="174" customFormat="false" ht="15" hidden="false" customHeight="false" outlineLevel="0" collapsed="false">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row>
    <row r="175" customFormat="false" ht="15" hidden="false" customHeight="false" outlineLevel="0" collapsed="false">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row>
    <row r="176" customFormat="false" ht="15" hidden="false" customHeight="false" outlineLevel="0" collapsed="false">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row>
    <row r="177" customFormat="false" ht="15" hidden="false" customHeight="false" outlineLevel="0" collapsed="false">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row>
    <row r="178" customFormat="false" ht="15" hidden="false" customHeight="false" outlineLevel="0" collapsed="false">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row>
    <row r="179" customFormat="false" ht="15" hidden="false" customHeight="false" outlineLevel="0" collapsed="false">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row>
    <row r="180" customFormat="false" ht="15" hidden="false" customHeight="false" outlineLevel="0" collapsed="false">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row>
    <row r="181" customFormat="false" ht="15" hidden="false" customHeight="false" outlineLevel="0" collapsed="false">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row>
    <row r="182" customFormat="false" ht="15" hidden="false" customHeight="false" outlineLevel="0" collapsed="false">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row>
    <row r="183" customFormat="false" ht="15" hidden="false" customHeight="false" outlineLevel="0" collapsed="false">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row>
    <row r="184" customFormat="false" ht="15" hidden="false" customHeight="false" outlineLevel="0" collapsed="false">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row>
    <row r="185" customFormat="false" ht="15" hidden="false" customHeight="false" outlineLevel="0" collapsed="false">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row>
    <row r="186" customFormat="false" ht="15" hidden="false" customHeight="false" outlineLevel="0" collapsed="false">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row>
    <row r="187" customFormat="false" ht="15" hidden="false" customHeight="false" outlineLevel="0" collapsed="false">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row>
    <row r="188" customFormat="false" ht="15" hidden="false" customHeight="false" outlineLevel="0" collapsed="false">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row>
    <row r="189" customFormat="false" ht="15" hidden="false" customHeight="false" outlineLevel="0" collapsed="false">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row>
    <row r="190" customFormat="false" ht="15" hidden="false" customHeight="false" outlineLevel="0" collapsed="false">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row>
    <row r="191" customFormat="false" ht="15" hidden="false" customHeight="false" outlineLevel="0" collapsed="false">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row>
    <row r="192" customFormat="false" ht="15" hidden="false" customHeight="false" outlineLevel="0" collapsed="false">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row>
    <row r="193" customFormat="false" ht="15" hidden="false" customHeight="false" outlineLevel="0" collapsed="false">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row>
    <row r="194" customFormat="false" ht="15" hidden="false" customHeight="false" outlineLevel="0" collapsed="false">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row>
    <row r="195" customFormat="false" ht="15" hidden="false" customHeight="false" outlineLevel="0" collapsed="false">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row>
    <row r="196" customFormat="false" ht="15" hidden="false" customHeight="false" outlineLevel="0" collapsed="false">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row>
    <row r="197" customFormat="false" ht="15" hidden="false" customHeight="false" outlineLevel="0" collapsed="false">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row>
    <row r="198" customFormat="false" ht="15" hidden="false" customHeight="false" outlineLevel="0" collapsed="false">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row>
    <row r="199" customFormat="false" ht="15" hidden="false" customHeight="false" outlineLevel="0" collapsed="false">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row>
    <row r="200" customFormat="false" ht="15" hidden="false" customHeight="false" outlineLevel="0" collapsed="false">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row>
    <row r="201" customFormat="false" ht="15" hidden="false" customHeight="false" outlineLevel="0" collapsed="false">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row>
    <row r="202" customFormat="false" ht="15" hidden="false" customHeight="false" outlineLevel="0" collapsed="false">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row>
    <row r="203" customFormat="false" ht="15" hidden="false" customHeight="false" outlineLevel="0" collapsed="false">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row>
    <row r="204" customFormat="false" ht="15" hidden="false" customHeight="false" outlineLevel="0" collapsed="false">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row>
    <row r="205" customFormat="false" ht="15" hidden="false" customHeight="false" outlineLevel="0" collapsed="false">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row>
    <row r="206" customFormat="false" ht="15" hidden="false" customHeight="false" outlineLevel="0" collapsed="false">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row>
    <row r="207" customFormat="false" ht="15" hidden="false" customHeight="false" outlineLevel="0" collapsed="false">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row>
    <row r="208" customFormat="false" ht="15" hidden="false" customHeight="false" outlineLevel="0" collapsed="false">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row>
    <row r="209" customFormat="false" ht="15" hidden="false" customHeight="false" outlineLevel="0" collapsed="false">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row>
    <row r="210" customFormat="false" ht="15" hidden="false" customHeight="false" outlineLevel="0" collapsed="false">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row>
    <row r="211" customFormat="false" ht="15" hidden="false" customHeight="false" outlineLevel="0" collapsed="false">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c r="AE211" s="15"/>
    </row>
    <row r="212" customFormat="false" ht="15" hidden="false" customHeight="false" outlineLevel="0" collapsed="false">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c r="AE212" s="15"/>
    </row>
    <row r="213" customFormat="false" ht="15" hidden="false" customHeight="false" outlineLevel="0" collapsed="false">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c r="AE213" s="15"/>
    </row>
    <row r="214" customFormat="false" ht="15" hidden="false" customHeight="false" outlineLevel="0" collapsed="false">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c r="AE214" s="15"/>
    </row>
    <row r="215" customFormat="false" ht="15" hidden="false" customHeight="false" outlineLevel="0" collapsed="false">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row>
    <row r="216" customFormat="false" ht="15" hidden="false" customHeight="false" outlineLevel="0" collapsed="false">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c r="AE216" s="15"/>
    </row>
    <row r="217" customFormat="false" ht="15" hidden="false" customHeight="false" outlineLevel="0" collapsed="false">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c r="AE217" s="15"/>
    </row>
    <row r="218" customFormat="false" ht="15" hidden="false" customHeight="false" outlineLevel="0" collapsed="false">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c r="AE218" s="15"/>
    </row>
    <row r="219" customFormat="false" ht="15" hidden="false" customHeight="false" outlineLevel="0" collapsed="false">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c r="AE219" s="15"/>
    </row>
    <row r="220" customFormat="false" ht="15" hidden="false" customHeight="false" outlineLevel="0" collapsed="false">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c r="AE220" s="15"/>
    </row>
    <row r="221" customFormat="false" ht="15" hidden="false" customHeight="false" outlineLevel="0" collapsed="false">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c r="AE221" s="15"/>
    </row>
    <row r="222" customFormat="false" ht="15" hidden="false" customHeight="false" outlineLevel="0" collapsed="false">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c r="AE222" s="15"/>
    </row>
    <row r="223" customFormat="false" ht="15" hidden="false" customHeight="false" outlineLevel="0" collapsed="false">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c r="AE223" s="15"/>
    </row>
    <row r="224" customFormat="false" ht="15" hidden="false" customHeight="false" outlineLevel="0" collapsed="false">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c r="AE224" s="15"/>
    </row>
    <row r="225" customFormat="false" ht="15" hidden="false" customHeight="false" outlineLevel="0" collapsed="false">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c r="AE225" s="15"/>
    </row>
    <row r="226" customFormat="false" ht="15" hidden="false" customHeight="false" outlineLevel="0" collapsed="false">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c r="AE226" s="15"/>
    </row>
    <row r="227" customFormat="false" ht="15" hidden="false" customHeight="false" outlineLevel="0" collapsed="false">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c r="AE227" s="15"/>
    </row>
    <row r="228" customFormat="false" ht="15" hidden="false" customHeight="false" outlineLevel="0" collapsed="false">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c r="AE228" s="15"/>
    </row>
    <row r="229" customFormat="false" ht="15" hidden="false" customHeight="false" outlineLevel="0" collapsed="false">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15"/>
    </row>
    <row r="230" customFormat="false" ht="15" hidden="false" customHeight="false" outlineLevel="0" collapsed="false">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row>
    <row r="231" customFormat="false" ht="15" hidden="false" customHeight="false" outlineLevel="0" collapsed="false">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row>
    <row r="232" customFormat="false" ht="15" hidden="false" customHeight="false" outlineLevel="0" collapsed="false">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row>
    <row r="233" customFormat="false" ht="15" hidden="false" customHeight="false" outlineLevel="0" collapsed="false">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c r="AE233" s="15"/>
    </row>
    <row r="234" customFormat="false" ht="15" hidden="false" customHeight="false" outlineLevel="0" collapsed="false">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c r="AE234" s="15"/>
    </row>
    <row r="235" customFormat="false" ht="15" hidden="false" customHeight="false" outlineLevel="0" collapsed="false">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c r="AE235" s="15"/>
    </row>
    <row r="236" customFormat="false" ht="15" hidden="false" customHeight="false" outlineLevel="0" collapsed="false">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c r="AE236" s="15"/>
    </row>
    <row r="237" customFormat="false" ht="15" hidden="false" customHeight="false" outlineLevel="0" collapsed="false">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c r="AE237" s="15"/>
    </row>
    <row r="238" customFormat="false" ht="15" hidden="false" customHeight="false" outlineLevel="0" collapsed="false">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c r="AE238" s="15"/>
    </row>
    <row r="239" customFormat="false" ht="15" hidden="false" customHeight="false" outlineLevel="0" collapsed="false">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c r="AE239" s="15"/>
    </row>
    <row r="240" customFormat="false" ht="15" hidden="false" customHeight="false" outlineLevel="0" collapsed="false">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c r="AE240" s="15"/>
    </row>
    <row r="241" customFormat="false" ht="15" hidden="false" customHeight="false" outlineLevel="0" collapsed="false">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c r="AE241" s="15"/>
    </row>
    <row r="242" customFormat="false" ht="15" hidden="false" customHeight="false" outlineLevel="0" collapsed="false">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c r="AE242" s="15"/>
    </row>
    <row r="243" customFormat="false" ht="15" hidden="false" customHeight="false" outlineLevel="0" collapsed="false">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c r="AE243" s="15"/>
    </row>
    <row r="244" customFormat="false" ht="15" hidden="false" customHeight="false" outlineLevel="0" collapsed="false">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c r="AE244" s="15"/>
    </row>
    <row r="245" customFormat="false" ht="15" hidden="false" customHeight="false" outlineLevel="0" collapsed="false">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c r="AE245" s="15"/>
    </row>
    <row r="246" customFormat="false" ht="15" hidden="false" customHeight="false" outlineLevel="0" collapsed="false">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row>
    <row r="247" customFormat="false" ht="15" hidden="false" customHeight="false" outlineLevel="0" collapsed="false">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c r="AE247" s="15"/>
    </row>
    <row r="248" customFormat="false" ht="15" hidden="false" customHeight="false" outlineLevel="0" collapsed="false">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row>
    <row r="249" customFormat="false" ht="15" hidden="false" customHeight="false" outlineLevel="0" collapsed="false">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c r="AE249" s="15"/>
    </row>
    <row r="250" customFormat="false" ht="15" hidden="false" customHeight="false" outlineLevel="0" collapsed="false">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c r="AE250" s="15"/>
    </row>
    <row r="251" customFormat="false" ht="15" hidden="false" customHeight="false" outlineLevel="0" collapsed="false">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row>
    <row r="252" customFormat="false" ht="15" hidden="false" customHeight="false" outlineLevel="0" collapsed="false">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row>
    <row r="253" customFormat="false" ht="15" hidden="false" customHeight="false" outlineLevel="0" collapsed="false">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c r="AE253" s="15"/>
    </row>
    <row r="254" customFormat="false" ht="15" hidden="false" customHeight="false" outlineLevel="0" collapsed="false">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row>
    <row r="255" customFormat="false" ht="15" hidden="false" customHeight="false" outlineLevel="0" collapsed="false">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c r="AE255" s="15"/>
    </row>
    <row r="256" customFormat="false" ht="15" hidden="false" customHeight="false" outlineLevel="0" collapsed="false">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c r="AE256" s="15"/>
    </row>
    <row r="257" customFormat="false" ht="15" hidden="false" customHeight="false" outlineLevel="0" collapsed="false">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row>
    <row r="258" customFormat="false" ht="15" hidden="false" customHeight="false" outlineLevel="0" collapsed="false">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c r="AE258" s="15"/>
    </row>
    <row r="259" customFormat="false" ht="15" hidden="false" customHeight="false" outlineLevel="0" collapsed="false">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row>
    <row r="260" customFormat="false" ht="15" hidden="false" customHeight="false" outlineLevel="0" collapsed="false">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c r="AE260" s="15"/>
    </row>
    <row r="261" customFormat="false" ht="15" hidden="false" customHeight="false" outlineLevel="0" collapsed="false">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c r="AE261" s="15"/>
    </row>
    <row r="262" customFormat="false" ht="15" hidden="false" customHeight="false" outlineLevel="0" collapsed="false">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c r="AE262" s="15"/>
    </row>
    <row r="263" customFormat="false" ht="15" hidden="false" customHeight="false" outlineLevel="0" collapsed="false">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c r="AE263" s="15"/>
    </row>
    <row r="264" customFormat="false" ht="15" hidden="false" customHeight="false" outlineLevel="0" collapsed="false">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c r="AE264" s="15"/>
    </row>
    <row r="265" customFormat="false" ht="15" hidden="false" customHeight="false" outlineLevel="0" collapsed="false">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c r="AE265" s="15"/>
    </row>
    <row r="266" customFormat="false" ht="15" hidden="false" customHeight="false" outlineLevel="0" collapsed="false">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c r="AE266" s="15"/>
    </row>
    <row r="267" customFormat="false" ht="15" hidden="false" customHeight="false" outlineLevel="0" collapsed="false">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c r="AE267" s="15"/>
    </row>
    <row r="268" customFormat="false" ht="15" hidden="false" customHeight="false" outlineLevel="0" collapsed="false">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c r="AE268" s="15"/>
    </row>
    <row r="269" customFormat="false" ht="15" hidden="false" customHeight="false" outlineLevel="0" collapsed="false">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c r="AE269" s="15"/>
    </row>
    <row r="270" customFormat="false" ht="15" hidden="false" customHeight="false" outlineLevel="0" collapsed="false">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c r="AE270" s="15"/>
    </row>
    <row r="271" customFormat="false" ht="15" hidden="false" customHeight="false" outlineLevel="0" collapsed="false">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c r="AE271" s="15"/>
    </row>
    <row r="272" customFormat="false" ht="15" hidden="false" customHeight="false" outlineLevel="0" collapsed="false">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row>
    <row r="273" customFormat="false" ht="15" hidden="false" customHeight="false" outlineLevel="0" collapsed="false">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row>
    <row r="274" customFormat="false" ht="15" hidden="false" customHeight="false" outlineLevel="0" collapsed="false">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row>
    <row r="275" customFormat="false" ht="15" hidden="false" customHeight="false" outlineLevel="0" collapsed="false">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c r="AE275" s="15"/>
    </row>
    <row r="276" customFormat="false" ht="15" hidden="false" customHeight="false" outlineLevel="0" collapsed="false">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row>
    <row r="277" customFormat="false" ht="15" hidden="false" customHeight="false" outlineLevel="0" collapsed="false">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row>
    <row r="278" customFormat="false" ht="15" hidden="false" customHeight="false" outlineLevel="0" collapsed="false">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c r="AE278" s="15"/>
    </row>
    <row r="279" customFormat="false" ht="15" hidden="false" customHeight="false" outlineLevel="0" collapsed="false">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c r="AE279" s="15"/>
    </row>
    <row r="280" customFormat="false" ht="15" hidden="false" customHeight="false" outlineLevel="0" collapsed="false">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row>
    <row r="281" customFormat="false" ht="15" hidden="false" customHeight="false" outlineLevel="0" collapsed="false">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row>
    <row r="282" customFormat="false" ht="15" hidden="false" customHeight="false" outlineLevel="0" collapsed="false">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row>
    <row r="283" customFormat="false" ht="15" hidden="false" customHeight="false" outlineLevel="0" collapsed="false">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row>
    <row r="284" customFormat="false" ht="15" hidden="false" customHeight="false" outlineLevel="0" collapsed="false">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row>
    <row r="285" customFormat="false" ht="15" hidden="false" customHeight="false" outlineLevel="0" collapsed="false">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c r="AE285" s="15"/>
    </row>
    <row r="286" customFormat="false" ht="15" hidden="false" customHeight="false" outlineLevel="0" collapsed="false">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row>
    <row r="287" customFormat="false" ht="15" hidden="false" customHeight="false" outlineLevel="0" collapsed="false">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c r="AE287" s="15"/>
    </row>
    <row r="288" customFormat="false" ht="15" hidden="false" customHeight="false" outlineLevel="0" collapsed="false">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row>
    <row r="289" customFormat="false" ht="15" hidden="false" customHeight="false" outlineLevel="0" collapsed="false">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row>
    <row r="290" customFormat="false" ht="15" hidden="false" customHeight="false" outlineLevel="0" collapsed="false">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row>
    <row r="291" customFormat="false" ht="15" hidden="false" customHeight="false" outlineLevel="0" collapsed="false">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row>
    <row r="292" customFormat="false" ht="15" hidden="false" customHeight="false" outlineLevel="0" collapsed="false">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row>
    <row r="293" customFormat="false" ht="15" hidden="false" customHeight="false" outlineLevel="0" collapsed="false">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row>
    <row r="294" customFormat="false" ht="15" hidden="false" customHeight="false" outlineLevel="0" collapsed="false">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row>
    <row r="295" customFormat="false" ht="15" hidden="false" customHeight="false" outlineLevel="0" collapsed="false">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row>
    <row r="296" customFormat="false" ht="15" hidden="false" customHeight="false" outlineLevel="0" collapsed="false">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row>
    <row r="297" customFormat="false" ht="15" hidden="false" customHeight="false" outlineLevel="0" collapsed="false">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row>
    <row r="298" customFormat="false" ht="15" hidden="false" customHeight="false" outlineLevel="0" collapsed="false">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row>
    <row r="299" customFormat="false" ht="15" hidden="false" customHeight="false" outlineLevel="0" collapsed="false">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row>
    <row r="300" customFormat="false" ht="15" hidden="false" customHeight="false" outlineLevel="0" collapsed="false">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row>
    <row r="301" customFormat="false" ht="15" hidden="false" customHeight="false" outlineLevel="0" collapsed="false">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row>
    <row r="302" customFormat="false" ht="15" hidden="false" customHeight="false" outlineLevel="0" collapsed="false">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row>
  </sheetData>
  <autoFilter ref="A1:AE30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8" min="3" style="0" width="15"/>
  </cols>
  <sheetData>
    <row r="1" customFormat="false" ht="25.5" hidden="false" customHeight="true" outlineLevel="0" collapsed="false">
      <c r="A1" s="9" t="s">
        <v>85</v>
      </c>
      <c r="B1" s="9" t="s">
        <v>86</v>
      </c>
      <c r="C1" s="9" t="s">
        <v>87</v>
      </c>
      <c r="D1" s="9" t="s">
        <v>88</v>
      </c>
      <c r="E1" s="9" t="s">
        <v>89</v>
      </c>
      <c r="F1" s="9" t="s">
        <v>79</v>
      </c>
      <c r="G1" s="9" t="s">
        <v>90</v>
      </c>
      <c r="H1" s="9" t="s">
        <v>91</v>
      </c>
    </row>
    <row r="2" customFormat="false" ht="15" hidden="false" customHeight="false" outlineLevel="0" collapsed="false">
      <c r="A2" s="16" t="s">
        <v>92</v>
      </c>
      <c r="B2" s="17" t="s">
        <v>93</v>
      </c>
      <c r="C2" s="16" t="n">
        <f aca="false">SUMPRODUCT((每日复盘!$B$3:$B$302=A2)*(TEXT(每日复盘!$A$3:$A$302,"yyyy-mm")=B2)*(每日复盘!$A$3:$A$302&lt;&gt;""))</f>
        <v>0</v>
      </c>
      <c r="D2" s="16" t="n">
        <f aca="false">SUMPRODUCT((每日复盘!$B$3:$B$302=A2)*(TEXT(每日复盘!$A$3:$A$302,"yyyy-mm")=B2)*(每日复盘!$T$3:$T$302="多头因素占优"))</f>
        <v>0</v>
      </c>
      <c r="E2" s="16" t="n">
        <f aca="false">SUMPRODUCT((每日复盘!$B$3:$B$302=A2)*(TEXT(每日复盘!$A$3:$A$302,"yyyy-mm")=B2)*(每日复盘!$T$3:$T$302="空头因素占优"))</f>
        <v>0</v>
      </c>
      <c r="F2" s="16" t="n">
        <f aca="false">SUMPRODUCT((每日复盘!$B$3:$B$302=A2)*(TEXT(每日复盘!$A$3:$A$302,"yyyy-mm")=B2)*(每日复盘!$T$3:$T$302="多空信号不一致"))</f>
        <v>0</v>
      </c>
      <c r="G2" s="16" t="n">
        <f aca="false">SUMPRODUCT((每日复盘!$B$3:$B$302=A2)*(TEXT(每日复盘!$A$3:$A$302,"yyyy-mm")=B2)*(每日复盘!$T$3:$T$302="无明显方向"))</f>
        <v>0</v>
      </c>
      <c r="H2" s="16" t="n">
        <f aca="false">SUMPRODUCT((每日复盘!$B$3:$B$302=A2)*(TEXT(每日复盘!$A$3:$A$302,"yyyy-mm")=B2)*(每日复盘!$AC$3:$AC$302="是"))</f>
        <v>0</v>
      </c>
    </row>
    <row r="3" customFormat="false" ht="15" hidden="false" customHeight="false" outlineLevel="0" collapsed="false">
      <c r="A3" s="16" t="s">
        <v>92</v>
      </c>
      <c r="B3" s="17" t="s">
        <v>94</v>
      </c>
      <c r="C3" s="16" t="n">
        <f aca="false">SUMPRODUCT((每日复盘!$B$3:$B$302=A3)*(TEXT(每日复盘!$A$3:$A$302,"yyyy-mm")=B3)*(每日复盘!$A$3:$A$302&lt;&gt;""))</f>
        <v>0</v>
      </c>
      <c r="D3" s="16" t="n">
        <f aca="false">SUMPRODUCT((每日复盘!$B$3:$B$302=A3)*(TEXT(每日复盘!$A$3:$A$302,"yyyy-mm")=B3)*(每日复盘!$T$3:$T$302="多头因素占优"))</f>
        <v>0</v>
      </c>
      <c r="E3" s="16" t="n">
        <f aca="false">SUMPRODUCT((每日复盘!$B$3:$B$302=A3)*(TEXT(每日复盘!$A$3:$A$302,"yyyy-mm")=B3)*(每日复盘!$T$3:$T$302="空头因素占优"))</f>
        <v>0</v>
      </c>
      <c r="F3" s="16" t="n">
        <f aca="false">SUMPRODUCT((每日复盘!$B$3:$B$302=A3)*(TEXT(每日复盘!$A$3:$A$302,"yyyy-mm")=B3)*(每日复盘!$T$3:$T$302="多空信号不一致"))</f>
        <v>0</v>
      </c>
      <c r="G3" s="16" t="n">
        <f aca="false">SUMPRODUCT((每日复盘!$B$3:$B$302=A3)*(TEXT(每日复盘!$A$3:$A$302,"yyyy-mm")=B3)*(每日复盘!$T$3:$T$302="无明显方向"))</f>
        <v>0</v>
      </c>
      <c r="H3" s="16" t="n">
        <f aca="false">SUMPRODUCT((每日复盘!$B$3:$B$302=A3)*(TEXT(每日复盘!$A$3:$A$302,"yyyy-mm")=B3)*(每日复盘!$AC$3:$AC$302="是"))</f>
        <v>0</v>
      </c>
    </row>
    <row r="4" customFormat="false" ht="15" hidden="false" customHeight="false" outlineLevel="0" collapsed="false">
      <c r="A4" s="16" t="s">
        <v>92</v>
      </c>
      <c r="B4" s="17" t="s">
        <v>95</v>
      </c>
      <c r="C4" s="16" t="n">
        <f aca="false">SUMPRODUCT((每日复盘!$B$3:$B$302=A4)*(TEXT(每日复盘!$A$3:$A$302,"yyyy-mm")=B4)*(每日复盘!$A$3:$A$302&lt;&gt;""))</f>
        <v>0</v>
      </c>
      <c r="D4" s="16" t="n">
        <f aca="false">SUMPRODUCT((每日复盘!$B$3:$B$302=A4)*(TEXT(每日复盘!$A$3:$A$302,"yyyy-mm")=B4)*(每日复盘!$T$3:$T$302="多头因素占优"))</f>
        <v>0</v>
      </c>
      <c r="E4" s="16" t="n">
        <f aca="false">SUMPRODUCT((每日复盘!$B$3:$B$302=A4)*(TEXT(每日复盘!$A$3:$A$302,"yyyy-mm")=B4)*(每日复盘!$T$3:$T$302="空头因素占优"))</f>
        <v>0</v>
      </c>
      <c r="F4" s="16" t="n">
        <f aca="false">SUMPRODUCT((每日复盘!$B$3:$B$302=A4)*(TEXT(每日复盘!$A$3:$A$302,"yyyy-mm")=B4)*(每日复盘!$T$3:$T$302="多空信号不一致"))</f>
        <v>0</v>
      </c>
      <c r="G4" s="16" t="n">
        <f aca="false">SUMPRODUCT((每日复盘!$B$3:$B$302=A4)*(TEXT(每日复盘!$A$3:$A$302,"yyyy-mm")=B4)*(每日复盘!$T$3:$T$302="无明显方向"))</f>
        <v>0</v>
      </c>
      <c r="H4" s="16" t="n">
        <f aca="false">SUMPRODUCT((每日复盘!$B$3:$B$302=A4)*(TEXT(每日复盘!$A$3:$A$302,"yyyy-mm")=B4)*(每日复盘!$AC$3:$AC$302="是"))</f>
        <v>0</v>
      </c>
    </row>
    <row r="5" customFormat="false" ht="15" hidden="false" customHeight="false" outlineLevel="0" collapsed="false">
      <c r="A5" s="16" t="s">
        <v>92</v>
      </c>
      <c r="B5" s="17" t="s">
        <v>96</v>
      </c>
      <c r="C5" s="16" t="n">
        <f aca="false">SUMPRODUCT((每日复盘!$B$3:$B$302=A5)*(TEXT(每日复盘!$A$3:$A$302,"yyyy-mm")=B5)*(每日复盘!$A$3:$A$302&lt;&gt;""))</f>
        <v>0</v>
      </c>
      <c r="D5" s="16" t="n">
        <f aca="false">SUMPRODUCT((每日复盘!$B$3:$B$302=A5)*(TEXT(每日复盘!$A$3:$A$302,"yyyy-mm")=B5)*(每日复盘!$T$3:$T$302="多头因素占优"))</f>
        <v>0</v>
      </c>
      <c r="E5" s="16" t="n">
        <f aca="false">SUMPRODUCT((每日复盘!$B$3:$B$302=A5)*(TEXT(每日复盘!$A$3:$A$302,"yyyy-mm")=B5)*(每日复盘!$T$3:$T$302="空头因素占优"))</f>
        <v>0</v>
      </c>
      <c r="F5" s="16" t="n">
        <f aca="false">SUMPRODUCT((每日复盘!$B$3:$B$302=A5)*(TEXT(每日复盘!$A$3:$A$302,"yyyy-mm")=B5)*(每日复盘!$T$3:$T$302="多空信号不一致"))</f>
        <v>0</v>
      </c>
      <c r="G5" s="16" t="n">
        <f aca="false">SUMPRODUCT((每日复盘!$B$3:$B$302=A5)*(TEXT(每日复盘!$A$3:$A$302,"yyyy-mm")=B5)*(每日复盘!$T$3:$T$302="无明显方向"))</f>
        <v>0</v>
      </c>
      <c r="H5" s="16" t="n">
        <f aca="false">SUMPRODUCT((每日复盘!$B$3:$B$302=A5)*(TEXT(每日复盘!$A$3:$A$302,"yyyy-mm")=B5)*(每日复盘!$AC$3:$AC$302="是"))</f>
        <v>0</v>
      </c>
    </row>
    <row r="6" customFormat="false" ht="15" hidden="false" customHeight="false" outlineLevel="0" collapsed="false">
      <c r="A6" s="16" t="s">
        <v>92</v>
      </c>
      <c r="B6" s="17" t="s">
        <v>97</v>
      </c>
      <c r="C6" s="16" t="n">
        <f aca="false">SUMPRODUCT((每日复盘!$B$3:$B$302=A6)*(TEXT(每日复盘!$A$3:$A$302,"yyyy-mm")=B6)*(每日复盘!$A$3:$A$302&lt;&gt;""))</f>
        <v>0</v>
      </c>
      <c r="D6" s="16" t="n">
        <f aca="false">SUMPRODUCT((每日复盘!$B$3:$B$302=A6)*(TEXT(每日复盘!$A$3:$A$302,"yyyy-mm")=B6)*(每日复盘!$T$3:$T$302="多头因素占优"))</f>
        <v>0</v>
      </c>
      <c r="E6" s="16" t="n">
        <f aca="false">SUMPRODUCT((每日复盘!$B$3:$B$302=A6)*(TEXT(每日复盘!$A$3:$A$302,"yyyy-mm")=B6)*(每日复盘!$T$3:$T$302="空头因素占优"))</f>
        <v>0</v>
      </c>
      <c r="F6" s="16" t="n">
        <f aca="false">SUMPRODUCT((每日复盘!$B$3:$B$302=A6)*(TEXT(每日复盘!$A$3:$A$302,"yyyy-mm")=B6)*(每日复盘!$T$3:$T$302="多空信号不一致"))</f>
        <v>0</v>
      </c>
      <c r="G6" s="16" t="n">
        <f aca="false">SUMPRODUCT((每日复盘!$B$3:$B$302=A6)*(TEXT(每日复盘!$A$3:$A$302,"yyyy-mm")=B6)*(每日复盘!$T$3:$T$302="无明显方向"))</f>
        <v>0</v>
      </c>
      <c r="H6" s="16" t="n">
        <f aca="false">SUMPRODUCT((每日复盘!$B$3:$B$302=A6)*(TEXT(每日复盘!$A$3:$A$302,"yyyy-mm")=B6)*(每日复盘!$AC$3:$AC$302="是"))</f>
        <v>0</v>
      </c>
    </row>
    <row r="7" customFormat="false" ht="15" hidden="false" customHeight="false" outlineLevel="0" collapsed="false">
      <c r="A7" s="16" t="s">
        <v>92</v>
      </c>
      <c r="B7" s="17" t="s">
        <v>98</v>
      </c>
      <c r="C7" s="16" t="n">
        <f aca="false">SUMPRODUCT((每日复盘!$B$3:$B$302=A7)*(TEXT(每日复盘!$A$3:$A$302,"yyyy-mm")=B7)*(每日复盘!$A$3:$A$302&lt;&gt;""))</f>
        <v>0</v>
      </c>
      <c r="D7" s="16" t="n">
        <f aca="false">SUMPRODUCT((每日复盘!$B$3:$B$302=A7)*(TEXT(每日复盘!$A$3:$A$302,"yyyy-mm")=B7)*(每日复盘!$T$3:$T$302="多头因素占优"))</f>
        <v>0</v>
      </c>
      <c r="E7" s="16" t="n">
        <f aca="false">SUMPRODUCT((每日复盘!$B$3:$B$302=A7)*(TEXT(每日复盘!$A$3:$A$302,"yyyy-mm")=B7)*(每日复盘!$T$3:$T$302="空头因素占优"))</f>
        <v>0</v>
      </c>
      <c r="F7" s="16" t="n">
        <f aca="false">SUMPRODUCT((每日复盘!$B$3:$B$302=A7)*(TEXT(每日复盘!$A$3:$A$302,"yyyy-mm")=B7)*(每日复盘!$T$3:$T$302="多空信号不一致"))</f>
        <v>0</v>
      </c>
      <c r="G7" s="16" t="n">
        <f aca="false">SUMPRODUCT((每日复盘!$B$3:$B$302=A7)*(TEXT(每日复盘!$A$3:$A$302,"yyyy-mm")=B7)*(每日复盘!$T$3:$T$302="无明显方向"))</f>
        <v>0</v>
      </c>
      <c r="H7" s="16" t="n">
        <f aca="false">SUMPRODUCT((每日复盘!$B$3:$B$302=A7)*(TEXT(每日复盘!$A$3:$A$302,"yyyy-mm")=B7)*(每日复盘!$AC$3:$AC$302="是"))</f>
        <v>0</v>
      </c>
    </row>
    <row r="8" customFormat="false" ht="15" hidden="false" customHeight="false" outlineLevel="0" collapsed="false">
      <c r="A8" s="16" t="s">
        <v>92</v>
      </c>
      <c r="B8" s="17" t="s">
        <v>99</v>
      </c>
      <c r="C8" s="16" t="n">
        <f aca="false">SUMPRODUCT((每日复盘!$B$3:$B$302=A8)*(TEXT(每日复盘!$A$3:$A$302,"yyyy-mm")=B8)*(每日复盘!$A$3:$A$302&lt;&gt;""))</f>
        <v>0</v>
      </c>
      <c r="D8" s="16" t="n">
        <f aca="false">SUMPRODUCT((每日复盘!$B$3:$B$302=A8)*(TEXT(每日复盘!$A$3:$A$302,"yyyy-mm")=B8)*(每日复盘!$T$3:$T$302="多头因素占优"))</f>
        <v>0</v>
      </c>
      <c r="E8" s="16" t="n">
        <f aca="false">SUMPRODUCT((每日复盘!$B$3:$B$302=A8)*(TEXT(每日复盘!$A$3:$A$302,"yyyy-mm")=B8)*(每日复盘!$T$3:$T$302="空头因素占优"))</f>
        <v>0</v>
      </c>
      <c r="F8" s="16" t="n">
        <f aca="false">SUMPRODUCT((每日复盘!$B$3:$B$302=A8)*(TEXT(每日复盘!$A$3:$A$302,"yyyy-mm")=B8)*(每日复盘!$T$3:$T$302="多空信号不一致"))</f>
        <v>0</v>
      </c>
      <c r="G8" s="16" t="n">
        <f aca="false">SUMPRODUCT((每日复盘!$B$3:$B$302=A8)*(TEXT(每日复盘!$A$3:$A$302,"yyyy-mm")=B8)*(每日复盘!$T$3:$T$302="无明显方向"))</f>
        <v>0</v>
      </c>
      <c r="H8" s="16" t="n">
        <f aca="false">SUMPRODUCT((每日复盘!$B$3:$B$302=A8)*(TEXT(每日复盘!$A$3:$A$302,"yyyy-mm")=B8)*(每日复盘!$AC$3:$AC$302="是"))</f>
        <v>0</v>
      </c>
    </row>
    <row r="9" customFormat="false" ht="15" hidden="false" customHeight="false" outlineLevel="0" collapsed="false">
      <c r="A9" s="16" t="s">
        <v>92</v>
      </c>
      <c r="B9" s="17" t="s">
        <v>100</v>
      </c>
      <c r="C9" s="16" t="n">
        <f aca="false">SUMPRODUCT((每日复盘!$B$3:$B$302=A9)*(TEXT(每日复盘!$A$3:$A$302,"yyyy-mm")=B9)*(每日复盘!$A$3:$A$302&lt;&gt;""))</f>
        <v>0</v>
      </c>
      <c r="D9" s="16" t="n">
        <f aca="false">SUMPRODUCT((每日复盘!$B$3:$B$302=A9)*(TEXT(每日复盘!$A$3:$A$302,"yyyy-mm")=B9)*(每日复盘!$T$3:$T$302="多头因素占优"))</f>
        <v>0</v>
      </c>
      <c r="E9" s="16" t="n">
        <f aca="false">SUMPRODUCT((每日复盘!$B$3:$B$302=A9)*(TEXT(每日复盘!$A$3:$A$302,"yyyy-mm")=B9)*(每日复盘!$T$3:$T$302="空头因素占优"))</f>
        <v>0</v>
      </c>
      <c r="F9" s="16" t="n">
        <f aca="false">SUMPRODUCT((每日复盘!$B$3:$B$302=A9)*(TEXT(每日复盘!$A$3:$A$302,"yyyy-mm")=B9)*(每日复盘!$T$3:$T$302="多空信号不一致"))</f>
        <v>0</v>
      </c>
      <c r="G9" s="16" t="n">
        <f aca="false">SUMPRODUCT((每日复盘!$B$3:$B$302=A9)*(TEXT(每日复盘!$A$3:$A$302,"yyyy-mm")=B9)*(每日复盘!$T$3:$T$302="无明显方向"))</f>
        <v>0</v>
      </c>
      <c r="H9" s="16" t="n">
        <f aca="false">SUMPRODUCT((每日复盘!$B$3:$B$302=A9)*(TEXT(每日复盘!$A$3:$A$302,"yyyy-mm")=B9)*(每日复盘!$AC$3:$AC$302="是"))</f>
        <v>0</v>
      </c>
    </row>
    <row r="10" customFormat="false" ht="15" hidden="false" customHeight="false" outlineLevel="0" collapsed="false">
      <c r="A10" s="16" t="s">
        <v>92</v>
      </c>
      <c r="B10" s="17" t="s">
        <v>101</v>
      </c>
      <c r="C10" s="16" t="n">
        <f aca="false">SUMPRODUCT((每日复盘!$B$3:$B$302=A10)*(TEXT(每日复盘!$A$3:$A$302,"yyyy-mm")=B10)*(每日复盘!$A$3:$A$302&lt;&gt;""))</f>
        <v>0</v>
      </c>
      <c r="D10" s="16" t="n">
        <f aca="false">SUMPRODUCT((每日复盘!$B$3:$B$302=A10)*(TEXT(每日复盘!$A$3:$A$302,"yyyy-mm")=B10)*(每日复盘!$T$3:$T$302="多头因素占优"))</f>
        <v>0</v>
      </c>
      <c r="E10" s="16" t="n">
        <f aca="false">SUMPRODUCT((每日复盘!$B$3:$B$302=A10)*(TEXT(每日复盘!$A$3:$A$302,"yyyy-mm")=B10)*(每日复盘!$T$3:$T$302="空头因素占优"))</f>
        <v>0</v>
      </c>
      <c r="F10" s="16" t="n">
        <f aca="false">SUMPRODUCT((每日复盘!$B$3:$B$302=A10)*(TEXT(每日复盘!$A$3:$A$302,"yyyy-mm")=B10)*(每日复盘!$T$3:$T$302="多空信号不一致"))</f>
        <v>0</v>
      </c>
      <c r="G10" s="16" t="n">
        <f aca="false">SUMPRODUCT((每日复盘!$B$3:$B$302=A10)*(TEXT(每日复盘!$A$3:$A$302,"yyyy-mm")=B10)*(每日复盘!$T$3:$T$302="无明显方向"))</f>
        <v>0</v>
      </c>
      <c r="H10" s="16" t="n">
        <f aca="false">SUMPRODUCT((每日复盘!$B$3:$B$302=A10)*(TEXT(每日复盘!$A$3:$A$302,"yyyy-mm")=B10)*(每日复盘!$AC$3:$AC$302="是"))</f>
        <v>0</v>
      </c>
    </row>
    <row r="11" customFormat="false" ht="15" hidden="false" customHeight="false" outlineLevel="0" collapsed="false">
      <c r="A11" s="16" t="s">
        <v>92</v>
      </c>
      <c r="B11" s="17" t="s">
        <v>102</v>
      </c>
      <c r="C11" s="16" t="n">
        <f aca="false">SUMPRODUCT((每日复盘!$B$3:$B$302=A11)*(TEXT(每日复盘!$A$3:$A$302,"yyyy-mm")=B11)*(每日复盘!$A$3:$A$302&lt;&gt;""))</f>
        <v>0</v>
      </c>
      <c r="D11" s="16" t="n">
        <f aca="false">SUMPRODUCT((每日复盘!$B$3:$B$302=A11)*(TEXT(每日复盘!$A$3:$A$302,"yyyy-mm")=B11)*(每日复盘!$T$3:$T$302="多头因素占优"))</f>
        <v>0</v>
      </c>
      <c r="E11" s="16" t="n">
        <f aca="false">SUMPRODUCT((每日复盘!$B$3:$B$302=A11)*(TEXT(每日复盘!$A$3:$A$302,"yyyy-mm")=B11)*(每日复盘!$T$3:$T$302="空头因素占优"))</f>
        <v>0</v>
      </c>
      <c r="F11" s="16" t="n">
        <f aca="false">SUMPRODUCT((每日复盘!$B$3:$B$302=A11)*(TEXT(每日复盘!$A$3:$A$302,"yyyy-mm")=B11)*(每日复盘!$T$3:$T$302="多空信号不一致"))</f>
        <v>0</v>
      </c>
      <c r="G11" s="16" t="n">
        <f aca="false">SUMPRODUCT((每日复盘!$B$3:$B$302=A11)*(TEXT(每日复盘!$A$3:$A$302,"yyyy-mm")=B11)*(每日复盘!$T$3:$T$302="无明显方向"))</f>
        <v>0</v>
      </c>
      <c r="H11" s="16" t="n">
        <f aca="false">SUMPRODUCT((每日复盘!$B$3:$B$302=A11)*(TEXT(每日复盘!$A$3:$A$302,"yyyy-mm")=B11)*(每日复盘!$AC$3:$AC$302="是"))</f>
        <v>0</v>
      </c>
    </row>
    <row r="12" customFormat="false" ht="15" hidden="false" customHeight="false" outlineLevel="0" collapsed="false">
      <c r="A12" s="16" t="s">
        <v>92</v>
      </c>
      <c r="B12" s="17" t="s">
        <v>103</v>
      </c>
      <c r="C12" s="16" t="n">
        <f aca="false">SUMPRODUCT((每日复盘!$B$3:$B$302=A12)*(TEXT(每日复盘!$A$3:$A$302,"yyyy-mm")=B12)*(每日复盘!$A$3:$A$302&lt;&gt;""))</f>
        <v>0</v>
      </c>
      <c r="D12" s="16" t="n">
        <f aca="false">SUMPRODUCT((每日复盘!$B$3:$B$302=A12)*(TEXT(每日复盘!$A$3:$A$302,"yyyy-mm")=B12)*(每日复盘!$T$3:$T$302="多头因素占优"))</f>
        <v>0</v>
      </c>
      <c r="E12" s="16" t="n">
        <f aca="false">SUMPRODUCT((每日复盘!$B$3:$B$302=A12)*(TEXT(每日复盘!$A$3:$A$302,"yyyy-mm")=B12)*(每日复盘!$T$3:$T$302="空头因素占优"))</f>
        <v>0</v>
      </c>
      <c r="F12" s="16" t="n">
        <f aca="false">SUMPRODUCT((每日复盘!$B$3:$B$302=A12)*(TEXT(每日复盘!$A$3:$A$302,"yyyy-mm")=B12)*(每日复盘!$T$3:$T$302="多空信号不一致"))</f>
        <v>0</v>
      </c>
      <c r="G12" s="16" t="n">
        <f aca="false">SUMPRODUCT((每日复盘!$B$3:$B$302=A12)*(TEXT(每日复盘!$A$3:$A$302,"yyyy-mm")=B12)*(每日复盘!$T$3:$T$302="无明显方向"))</f>
        <v>0</v>
      </c>
      <c r="H12" s="16" t="n">
        <f aca="false">SUMPRODUCT((每日复盘!$B$3:$B$302=A12)*(TEXT(每日复盘!$A$3:$A$302,"yyyy-mm")=B12)*(每日复盘!$AC$3:$AC$302="是"))</f>
        <v>0</v>
      </c>
    </row>
    <row r="13" customFormat="false" ht="15" hidden="false" customHeight="false" outlineLevel="0" collapsed="false">
      <c r="A13" s="16" t="s">
        <v>92</v>
      </c>
      <c r="B13" s="17" t="s">
        <v>104</v>
      </c>
      <c r="C13" s="16" t="n">
        <f aca="false">SUMPRODUCT((每日复盘!$B$3:$B$302=A13)*(TEXT(每日复盘!$A$3:$A$302,"yyyy-mm")=B13)*(每日复盘!$A$3:$A$302&lt;&gt;""))</f>
        <v>0</v>
      </c>
      <c r="D13" s="16" t="n">
        <f aca="false">SUMPRODUCT((每日复盘!$B$3:$B$302=A13)*(TEXT(每日复盘!$A$3:$A$302,"yyyy-mm")=B13)*(每日复盘!$T$3:$T$302="多头因素占优"))</f>
        <v>0</v>
      </c>
      <c r="E13" s="16" t="n">
        <f aca="false">SUMPRODUCT((每日复盘!$B$3:$B$302=A13)*(TEXT(每日复盘!$A$3:$A$302,"yyyy-mm")=B13)*(每日复盘!$T$3:$T$302="空头因素占优"))</f>
        <v>0</v>
      </c>
      <c r="F13" s="16" t="n">
        <f aca="false">SUMPRODUCT((每日复盘!$B$3:$B$302=A13)*(TEXT(每日复盘!$A$3:$A$302,"yyyy-mm")=B13)*(每日复盘!$T$3:$T$302="多空信号不一致"))</f>
        <v>0</v>
      </c>
      <c r="G13" s="16" t="n">
        <f aca="false">SUMPRODUCT((每日复盘!$B$3:$B$302=A13)*(TEXT(每日复盘!$A$3:$A$302,"yyyy-mm")=B13)*(每日复盘!$T$3:$T$302="无明显方向"))</f>
        <v>0</v>
      </c>
      <c r="H13" s="16" t="n">
        <f aca="false">SUMPRODUCT((每日复盘!$B$3:$B$302=A13)*(TEXT(每日复盘!$A$3:$A$302,"yyyy-mm")=B13)*(每日复盘!$AC$3:$AC$302="是"))</f>
        <v>0</v>
      </c>
    </row>
    <row r="14" customFormat="false" ht="15" hidden="false" customHeight="false" outlineLevel="0" collapsed="false">
      <c r="A14" s="16" t="s">
        <v>105</v>
      </c>
      <c r="B14" s="17" t="s">
        <v>93</v>
      </c>
      <c r="C14" s="16" t="n">
        <f aca="false">SUMPRODUCT((每日复盘!$B$3:$B$302=A14)*(TEXT(每日复盘!$A$3:$A$302,"yyyy-mm")=B14)*(每日复盘!$A$3:$A$302&lt;&gt;""))</f>
        <v>0</v>
      </c>
      <c r="D14" s="16" t="n">
        <f aca="false">SUMPRODUCT((每日复盘!$B$3:$B$302=A14)*(TEXT(每日复盘!$A$3:$A$302,"yyyy-mm")=B14)*(每日复盘!$T$3:$T$302="多头因素占优"))</f>
        <v>0</v>
      </c>
      <c r="E14" s="16" t="n">
        <f aca="false">SUMPRODUCT((每日复盘!$B$3:$B$302=A14)*(TEXT(每日复盘!$A$3:$A$302,"yyyy-mm")=B14)*(每日复盘!$T$3:$T$302="空头因素占优"))</f>
        <v>0</v>
      </c>
      <c r="F14" s="16" t="n">
        <f aca="false">SUMPRODUCT((每日复盘!$B$3:$B$302=A14)*(TEXT(每日复盘!$A$3:$A$302,"yyyy-mm")=B14)*(每日复盘!$T$3:$T$302="多空信号不一致"))</f>
        <v>0</v>
      </c>
      <c r="G14" s="16" t="n">
        <f aca="false">SUMPRODUCT((每日复盘!$B$3:$B$302=A14)*(TEXT(每日复盘!$A$3:$A$302,"yyyy-mm")=B14)*(每日复盘!$T$3:$T$302="无明显方向"))</f>
        <v>0</v>
      </c>
      <c r="H14" s="16" t="n">
        <f aca="false">SUMPRODUCT((每日复盘!$B$3:$B$302=A14)*(TEXT(每日复盘!$A$3:$A$302,"yyyy-mm")=B14)*(每日复盘!$AC$3:$AC$302="是"))</f>
        <v>0</v>
      </c>
    </row>
    <row r="15" customFormat="false" ht="15" hidden="false" customHeight="false" outlineLevel="0" collapsed="false">
      <c r="A15" s="16" t="s">
        <v>105</v>
      </c>
      <c r="B15" s="17" t="s">
        <v>94</v>
      </c>
      <c r="C15" s="16" t="n">
        <f aca="false">SUMPRODUCT((每日复盘!$B$3:$B$302=A15)*(TEXT(每日复盘!$A$3:$A$302,"yyyy-mm")=B15)*(每日复盘!$A$3:$A$302&lt;&gt;""))</f>
        <v>0</v>
      </c>
      <c r="D15" s="16" t="n">
        <f aca="false">SUMPRODUCT((每日复盘!$B$3:$B$302=A15)*(TEXT(每日复盘!$A$3:$A$302,"yyyy-mm")=B15)*(每日复盘!$T$3:$T$302="多头因素占优"))</f>
        <v>0</v>
      </c>
      <c r="E15" s="16" t="n">
        <f aca="false">SUMPRODUCT((每日复盘!$B$3:$B$302=A15)*(TEXT(每日复盘!$A$3:$A$302,"yyyy-mm")=B15)*(每日复盘!$T$3:$T$302="空头因素占优"))</f>
        <v>0</v>
      </c>
      <c r="F15" s="16" t="n">
        <f aca="false">SUMPRODUCT((每日复盘!$B$3:$B$302=A15)*(TEXT(每日复盘!$A$3:$A$302,"yyyy-mm")=B15)*(每日复盘!$T$3:$T$302="多空信号不一致"))</f>
        <v>0</v>
      </c>
      <c r="G15" s="16" t="n">
        <f aca="false">SUMPRODUCT((每日复盘!$B$3:$B$302=A15)*(TEXT(每日复盘!$A$3:$A$302,"yyyy-mm")=B15)*(每日复盘!$T$3:$T$302="无明显方向"))</f>
        <v>0</v>
      </c>
      <c r="H15" s="16" t="n">
        <f aca="false">SUMPRODUCT((每日复盘!$B$3:$B$302=A15)*(TEXT(每日复盘!$A$3:$A$302,"yyyy-mm")=B15)*(每日复盘!$AC$3:$AC$302="是"))</f>
        <v>0</v>
      </c>
    </row>
    <row r="16" customFormat="false" ht="15" hidden="false" customHeight="false" outlineLevel="0" collapsed="false">
      <c r="A16" s="16" t="s">
        <v>105</v>
      </c>
      <c r="B16" s="17" t="s">
        <v>95</v>
      </c>
      <c r="C16" s="16" t="n">
        <f aca="false">SUMPRODUCT((每日复盘!$B$3:$B$302=A16)*(TEXT(每日复盘!$A$3:$A$302,"yyyy-mm")=B16)*(每日复盘!$A$3:$A$302&lt;&gt;""))</f>
        <v>0</v>
      </c>
      <c r="D16" s="16" t="n">
        <f aca="false">SUMPRODUCT((每日复盘!$B$3:$B$302=A16)*(TEXT(每日复盘!$A$3:$A$302,"yyyy-mm")=B16)*(每日复盘!$T$3:$T$302="多头因素占优"))</f>
        <v>0</v>
      </c>
      <c r="E16" s="16" t="n">
        <f aca="false">SUMPRODUCT((每日复盘!$B$3:$B$302=A16)*(TEXT(每日复盘!$A$3:$A$302,"yyyy-mm")=B16)*(每日复盘!$T$3:$T$302="空头因素占优"))</f>
        <v>0</v>
      </c>
      <c r="F16" s="16" t="n">
        <f aca="false">SUMPRODUCT((每日复盘!$B$3:$B$302=A16)*(TEXT(每日复盘!$A$3:$A$302,"yyyy-mm")=B16)*(每日复盘!$T$3:$T$302="多空信号不一致"))</f>
        <v>0</v>
      </c>
      <c r="G16" s="16" t="n">
        <f aca="false">SUMPRODUCT((每日复盘!$B$3:$B$302=A16)*(TEXT(每日复盘!$A$3:$A$302,"yyyy-mm")=B16)*(每日复盘!$T$3:$T$302="无明显方向"))</f>
        <v>0</v>
      </c>
      <c r="H16" s="16" t="n">
        <f aca="false">SUMPRODUCT((每日复盘!$B$3:$B$302=A16)*(TEXT(每日复盘!$A$3:$A$302,"yyyy-mm")=B16)*(每日复盘!$AC$3:$AC$302="是"))</f>
        <v>0</v>
      </c>
    </row>
    <row r="17" customFormat="false" ht="15" hidden="false" customHeight="false" outlineLevel="0" collapsed="false">
      <c r="A17" s="16" t="s">
        <v>105</v>
      </c>
      <c r="B17" s="17" t="s">
        <v>96</v>
      </c>
      <c r="C17" s="16" t="n">
        <f aca="false">SUMPRODUCT((每日复盘!$B$3:$B$302=A17)*(TEXT(每日复盘!$A$3:$A$302,"yyyy-mm")=B17)*(每日复盘!$A$3:$A$302&lt;&gt;""))</f>
        <v>0</v>
      </c>
      <c r="D17" s="16" t="n">
        <f aca="false">SUMPRODUCT((每日复盘!$B$3:$B$302=A17)*(TEXT(每日复盘!$A$3:$A$302,"yyyy-mm")=B17)*(每日复盘!$T$3:$T$302="多头因素占优"))</f>
        <v>0</v>
      </c>
      <c r="E17" s="16" t="n">
        <f aca="false">SUMPRODUCT((每日复盘!$B$3:$B$302=A17)*(TEXT(每日复盘!$A$3:$A$302,"yyyy-mm")=B17)*(每日复盘!$T$3:$T$302="空头因素占优"))</f>
        <v>0</v>
      </c>
      <c r="F17" s="16" t="n">
        <f aca="false">SUMPRODUCT((每日复盘!$B$3:$B$302=A17)*(TEXT(每日复盘!$A$3:$A$302,"yyyy-mm")=B17)*(每日复盘!$T$3:$T$302="多空信号不一致"))</f>
        <v>0</v>
      </c>
      <c r="G17" s="16" t="n">
        <f aca="false">SUMPRODUCT((每日复盘!$B$3:$B$302=A17)*(TEXT(每日复盘!$A$3:$A$302,"yyyy-mm")=B17)*(每日复盘!$T$3:$T$302="无明显方向"))</f>
        <v>0</v>
      </c>
      <c r="H17" s="16" t="n">
        <f aca="false">SUMPRODUCT((每日复盘!$B$3:$B$302=A17)*(TEXT(每日复盘!$A$3:$A$302,"yyyy-mm")=B17)*(每日复盘!$AC$3:$AC$302="是"))</f>
        <v>0</v>
      </c>
    </row>
    <row r="18" customFormat="false" ht="15" hidden="false" customHeight="false" outlineLevel="0" collapsed="false">
      <c r="A18" s="16" t="s">
        <v>105</v>
      </c>
      <c r="B18" s="17" t="s">
        <v>97</v>
      </c>
      <c r="C18" s="16" t="n">
        <f aca="false">SUMPRODUCT((每日复盘!$B$3:$B$302=A18)*(TEXT(每日复盘!$A$3:$A$302,"yyyy-mm")=B18)*(每日复盘!$A$3:$A$302&lt;&gt;""))</f>
        <v>0</v>
      </c>
      <c r="D18" s="16" t="n">
        <f aca="false">SUMPRODUCT((每日复盘!$B$3:$B$302=A18)*(TEXT(每日复盘!$A$3:$A$302,"yyyy-mm")=B18)*(每日复盘!$T$3:$T$302="多头因素占优"))</f>
        <v>0</v>
      </c>
      <c r="E18" s="16" t="n">
        <f aca="false">SUMPRODUCT((每日复盘!$B$3:$B$302=A18)*(TEXT(每日复盘!$A$3:$A$302,"yyyy-mm")=B18)*(每日复盘!$T$3:$T$302="空头因素占优"))</f>
        <v>0</v>
      </c>
      <c r="F18" s="16" t="n">
        <f aca="false">SUMPRODUCT((每日复盘!$B$3:$B$302=A18)*(TEXT(每日复盘!$A$3:$A$302,"yyyy-mm")=B18)*(每日复盘!$T$3:$T$302="多空信号不一致"))</f>
        <v>0</v>
      </c>
      <c r="G18" s="16" t="n">
        <f aca="false">SUMPRODUCT((每日复盘!$B$3:$B$302=A18)*(TEXT(每日复盘!$A$3:$A$302,"yyyy-mm")=B18)*(每日复盘!$T$3:$T$302="无明显方向"))</f>
        <v>0</v>
      </c>
      <c r="H18" s="16" t="n">
        <f aca="false">SUMPRODUCT((每日复盘!$B$3:$B$302=A18)*(TEXT(每日复盘!$A$3:$A$302,"yyyy-mm")=B18)*(每日复盘!$AC$3:$AC$302="是"))</f>
        <v>0</v>
      </c>
    </row>
    <row r="19" customFormat="false" ht="15" hidden="false" customHeight="false" outlineLevel="0" collapsed="false">
      <c r="A19" s="16" t="s">
        <v>105</v>
      </c>
      <c r="B19" s="17" t="s">
        <v>98</v>
      </c>
      <c r="C19" s="16" t="n">
        <f aca="false">SUMPRODUCT((每日复盘!$B$3:$B$302=A19)*(TEXT(每日复盘!$A$3:$A$302,"yyyy-mm")=B19)*(每日复盘!$A$3:$A$302&lt;&gt;""))</f>
        <v>0</v>
      </c>
      <c r="D19" s="16" t="n">
        <f aca="false">SUMPRODUCT((每日复盘!$B$3:$B$302=A19)*(TEXT(每日复盘!$A$3:$A$302,"yyyy-mm")=B19)*(每日复盘!$T$3:$T$302="多头因素占优"))</f>
        <v>0</v>
      </c>
      <c r="E19" s="16" t="n">
        <f aca="false">SUMPRODUCT((每日复盘!$B$3:$B$302=A19)*(TEXT(每日复盘!$A$3:$A$302,"yyyy-mm")=B19)*(每日复盘!$T$3:$T$302="空头因素占优"))</f>
        <v>0</v>
      </c>
      <c r="F19" s="16" t="n">
        <f aca="false">SUMPRODUCT((每日复盘!$B$3:$B$302=A19)*(TEXT(每日复盘!$A$3:$A$302,"yyyy-mm")=B19)*(每日复盘!$T$3:$T$302="多空信号不一致"))</f>
        <v>0</v>
      </c>
      <c r="G19" s="16" t="n">
        <f aca="false">SUMPRODUCT((每日复盘!$B$3:$B$302=A19)*(TEXT(每日复盘!$A$3:$A$302,"yyyy-mm")=B19)*(每日复盘!$T$3:$T$302="无明显方向"))</f>
        <v>0</v>
      </c>
      <c r="H19" s="16" t="n">
        <f aca="false">SUMPRODUCT((每日复盘!$B$3:$B$302=A19)*(TEXT(每日复盘!$A$3:$A$302,"yyyy-mm")=B19)*(每日复盘!$AC$3:$AC$302="是"))</f>
        <v>0</v>
      </c>
    </row>
    <row r="20" customFormat="false" ht="15" hidden="false" customHeight="false" outlineLevel="0" collapsed="false">
      <c r="A20" s="16" t="s">
        <v>105</v>
      </c>
      <c r="B20" s="17" t="s">
        <v>99</v>
      </c>
      <c r="C20" s="16" t="n">
        <f aca="false">SUMPRODUCT((每日复盘!$B$3:$B$302=A20)*(TEXT(每日复盘!$A$3:$A$302,"yyyy-mm")=B20)*(每日复盘!$A$3:$A$302&lt;&gt;""))</f>
        <v>0</v>
      </c>
      <c r="D20" s="16" t="n">
        <f aca="false">SUMPRODUCT((每日复盘!$B$3:$B$302=A20)*(TEXT(每日复盘!$A$3:$A$302,"yyyy-mm")=B20)*(每日复盘!$T$3:$T$302="多头因素占优"))</f>
        <v>0</v>
      </c>
      <c r="E20" s="16" t="n">
        <f aca="false">SUMPRODUCT((每日复盘!$B$3:$B$302=A20)*(TEXT(每日复盘!$A$3:$A$302,"yyyy-mm")=B20)*(每日复盘!$T$3:$T$302="空头因素占优"))</f>
        <v>0</v>
      </c>
      <c r="F20" s="16" t="n">
        <f aca="false">SUMPRODUCT((每日复盘!$B$3:$B$302=A20)*(TEXT(每日复盘!$A$3:$A$302,"yyyy-mm")=B20)*(每日复盘!$T$3:$T$302="多空信号不一致"))</f>
        <v>0</v>
      </c>
      <c r="G20" s="16" t="n">
        <f aca="false">SUMPRODUCT((每日复盘!$B$3:$B$302=A20)*(TEXT(每日复盘!$A$3:$A$302,"yyyy-mm")=B20)*(每日复盘!$T$3:$T$302="无明显方向"))</f>
        <v>0</v>
      </c>
      <c r="H20" s="16" t="n">
        <f aca="false">SUMPRODUCT((每日复盘!$B$3:$B$302=A20)*(TEXT(每日复盘!$A$3:$A$302,"yyyy-mm")=B20)*(每日复盘!$AC$3:$AC$302="是"))</f>
        <v>0</v>
      </c>
    </row>
    <row r="21" customFormat="false" ht="15" hidden="false" customHeight="false" outlineLevel="0" collapsed="false">
      <c r="A21" s="16" t="s">
        <v>105</v>
      </c>
      <c r="B21" s="17" t="s">
        <v>100</v>
      </c>
      <c r="C21" s="16" t="n">
        <f aca="false">SUMPRODUCT((每日复盘!$B$3:$B$302=A21)*(TEXT(每日复盘!$A$3:$A$302,"yyyy-mm")=B21)*(每日复盘!$A$3:$A$302&lt;&gt;""))</f>
        <v>0</v>
      </c>
      <c r="D21" s="16" t="n">
        <f aca="false">SUMPRODUCT((每日复盘!$B$3:$B$302=A21)*(TEXT(每日复盘!$A$3:$A$302,"yyyy-mm")=B21)*(每日复盘!$T$3:$T$302="多头因素占优"))</f>
        <v>0</v>
      </c>
      <c r="E21" s="16" t="n">
        <f aca="false">SUMPRODUCT((每日复盘!$B$3:$B$302=A21)*(TEXT(每日复盘!$A$3:$A$302,"yyyy-mm")=B21)*(每日复盘!$T$3:$T$302="空头因素占优"))</f>
        <v>0</v>
      </c>
      <c r="F21" s="16" t="n">
        <f aca="false">SUMPRODUCT((每日复盘!$B$3:$B$302=A21)*(TEXT(每日复盘!$A$3:$A$302,"yyyy-mm")=B21)*(每日复盘!$T$3:$T$302="多空信号不一致"))</f>
        <v>0</v>
      </c>
      <c r="G21" s="16" t="n">
        <f aca="false">SUMPRODUCT((每日复盘!$B$3:$B$302=A21)*(TEXT(每日复盘!$A$3:$A$302,"yyyy-mm")=B21)*(每日复盘!$T$3:$T$302="无明显方向"))</f>
        <v>0</v>
      </c>
      <c r="H21" s="16" t="n">
        <f aca="false">SUMPRODUCT((每日复盘!$B$3:$B$302=A21)*(TEXT(每日复盘!$A$3:$A$302,"yyyy-mm")=B21)*(每日复盘!$AC$3:$AC$302="是"))</f>
        <v>0</v>
      </c>
    </row>
    <row r="22" customFormat="false" ht="15" hidden="false" customHeight="false" outlineLevel="0" collapsed="false">
      <c r="A22" s="16" t="s">
        <v>105</v>
      </c>
      <c r="B22" s="17" t="s">
        <v>101</v>
      </c>
      <c r="C22" s="16" t="n">
        <f aca="false">SUMPRODUCT((每日复盘!$B$3:$B$302=A22)*(TEXT(每日复盘!$A$3:$A$302,"yyyy-mm")=B22)*(每日复盘!$A$3:$A$302&lt;&gt;""))</f>
        <v>0</v>
      </c>
      <c r="D22" s="16" t="n">
        <f aca="false">SUMPRODUCT((每日复盘!$B$3:$B$302=A22)*(TEXT(每日复盘!$A$3:$A$302,"yyyy-mm")=B22)*(每日复盘!$T$3:$T$302="多头因素占优"))</f>
        <v>0</v>
      </c>
      <c r="E22" s="16" t="n">
        <f aca="false">SUMPRODUCT((每日复盘!$B$3:$B$302=A22)*(TEXT(每日复盘!$A$3:$A$302,"yyyy-mm")=B22)*(每日复盘!$T$3:$T$302="空头因素占优"))</f>
        <v>0</v>
      </c>
      <c r="F22" s="16" t="n">
        <f aca="false">SUMPRODUCT((每日复盘!$B$3:$B$302=A22)*(TEXT(每日复盘!$A$3:$A$302,"yyyy-mm")=B22)*(每日复盘!$T$3:$T$302="多空信号不一致"))</f>
        <v>0</v>
      </c>
      <c r="G22" s="16" t="n">
        <f aca="false">SUMPRODUCT((每日复盘!$B$3:$B$302=A22)*(TEXT(每日复盘!$A$3:$A$302,"yyyy-mm")=B22)*(每日复盘!$T$3:$T$302="无明显方向"))</f>
        <v>0</v>
      </c>
      <c r="H22" s="16" t="n">
        <f aca="false">SUMPRODUCT((每日复盘!$B$3:$B$302=A22)*(TEXT(每日复盘!$A$3:$A$302,"yyyy-mm")=B22)*(每日复盘!$AC$3:$AC$302="是"))</f>
        <v>0</v>
      </c>
    </row>
    <row r="23" customFormat="false" ht="15" hidden="false" customHeight="false" outlineLevel="0" collapsed="false">
      <c r="A23" s="16" t="s">
        <v>105</v>
      </c>
      <c r="B23" s="17" t="s">
        <v>102</v>
      </c>
      <c r="C23" s="16" t="n">
        <f aca="false">SUMPRODUCT((每日复盘!$B$3:$B$302=A23)*(TEXT(每日复盘!$A$3:$A$302,"yyyy-mm")=B23)*(每日复盘!$A$3:$A$302&lt;&gt;""))</f>
        <v>0</v>
      </c>
      <c r="D23" s="16" t="n">
        <f aca="false">SUMPRODUCT((每日复盘!$B$3:$B$302=A23)*(TEXT(每日复盘!$A$3:$A$302,"yyyy-mm")=B23)*(每日复盘!$T$3:$T$302="多头因素占优"))</f>
        <v>0</v>
      </c>
      <c r="E23" s="16" t="n">
        <f aca="false">SUMPRODUCT((每日复盘!$B$3:$B$302=A23)*(TEXT(每日复盘!$A$3:$A$302,"yyyy-mm")=B23)*(每日复盘!$T$3:$T$302="空头因素占优"))</f>
        <v>0</v>
      </c>
      <c r="F23" s="16" t="n">
        <f aca="false">SUMPRODUCT((每日复盘!$B$3:$B$302=A23)*(TEXT(每日复盘!$A$3:$A$302,"yyyy-mm")=B23)*(每日复盘!$T$3:$T$302="多空信号不一致"))</f>
        <v>0</v>
      </c>
      <c r="G23" s="16" t="n">
        <f aca="false">SUMPRODUCT((每日复盘!$B$3:$B$302=A23)*(TEXT(每日复盘!$A$3:$A$302,"yyyy-mm")=B23)*(每日复盘!$T$3:$T$302="无明显方向"))</f>
        <v>0</v>
      </c>
      <c r="H23" s="16" t="n">
        <f aca="false">SUMPRODUCT((每日复盘!$B$3:$B$302=A23)*(TEXT(每日复盘!$A$3:$A$302,"yyyy-mm")=B23)*(每日复盘!$AC$3:$AC$302="是"))</f>
        <v>0</v>
      </c>
    </row>
    <row r="24" customFormat="false" ht="15" hidden="false" customHeight="false" outlineLevel="0" collapsed="false">
      <c r="A24" s="16" t="s">
        <v>105</v>
      </c>
      <c r="B24" s="17" t="s">
        <v>103</v>
      </c>
      <c r="C24" s="16" t="n">
        <f aca="false">SUMPRODUCT((每日复盘!$B$3:$B$302=A24)*(TEXT(每日复盘!$A$3:$A$302,"yyyy-mm")=B24)*(每日复盘!$A$3:$A$302&lt;&gt;""))</f>
        <v>0</v>
      </c>
      <c r="D24" s="16" t="n">
        <f aca="false">SUMPRODUCT((每日复盘!$B$3:$B$302=A24)*(TEXT(每日复盘!$A$3:$A$302,"yyyy-mm")=B24)*(每日复盘!$T$3:$T$302="多头因素占优"))</f>
        <v>0</v>
      </c>
      <c r="E24" s="16" t="n">
        <f aca="false">SUMPRODUCT((每日复盘!$B$3:$B$302=A24)*(TEXT(每日复盘!$A$3:$A$302,"yyyy-mm")=B24)*(每日复盘!$T$3:$T$302="空头因素占优"))</f>
        <v>0</v>
      </c>
      <c r="F24" s="16" t="n">
        <f aca="false">SUMPRODUCT((每日复盘!$B$3:$B$302=A24)*(TEXT(每日复盘!$A$3:$A$302,"yyyy-mm")=B24)*(每日复盘!$T$3:$T$302="多空信号不一致"))</f>
        <v>0</v>
      </c>
      <c r="G24" s="16" t="n">
        <f aca="false">SUMPRODUCT((每日复盘!$B$3:$B$302=A24)*(TEXT(每日复盘!$A$3:$A$302,"yyyy-mm")=B24)*(每日复盘!$T$3:$T$302="无明显方向"))</f>
        <v>0</v>
      </c>
      <c r="H24" s="16" t="n">
        <f aca="false">SUMPRODUCT((每日复盘!$B$3:$B$302=A24)*(TEXT(每日复盘!$A$3:$A$302,"yyyy-mm")=B24)*(每日复盘!$AC$3:$AC$302="是"))</f>
        <v>0</v>
      </c>
    </row>
    <row r="25" customFormat="false" ht="15" hidden="false" customHeight="false" outlineLevel="0" collapsed="false">
      <c r="A25" s="16" t="s">
        <v>105</v>
      </c>
      <c r="B25" s="17" t="s">
        <v>104</v>
      </c>
      <c r="C25" s="16" t="n">
        <f aca="false">SUMPRODUCT((每日复盘!$B$3:$B$302=A25)*(TEXT(每日复盘!$A$3:$A$302,"yyyy-mm")=B25)*(每日复盘!$A$3:$A$302&lt;&gt;""))</f>
        <v>0</v>
      </c>
      <c r="D25" s="16" t="n">
        <f aca="false">SUMPRODUCT((每日复盘!$B$3:$B$302=A25)*(TEXT(每日复盘!$A$3:$A$302,"yyyy-mm")=B25)*(每日复盘!$T$3:$T$302="多头因素占优"))</f>
        <v>0</v>
      </c>
      <c r="E25" s="16" t="n">
        <f aca="false">SUMPRODUCT((每日复盘!$B$3:$B$302=A25)*(TEXT(每日复盘!$A$3:$A$302,"yyyy-mm")=B25)*(每日复盘!$T$3:$T$302="空头因素占优"))</f>
        <v>0</v>
      </c>
      <c r="F25" s="16" t="n">
        <f aca="false">SUMPRODUCT((每日复盘!$B$3:$B$302=A25)*(TEXT(每日复盘!$A$3:$A$302,"yyyy-mm")=B25)*(每日复盘!$T$3:$T$302="多空信号不一致"))</f>
        <v>0</v>
      </c>
      <c r="G25" s="16" t="n">
        <f aca="false">SUMPRODUCT((每日复盘!$B$3:$B$302=A25)*(TEXT(每日复盘!$A$3:$A$302,"yyyy-mm")=B25)*(每日复盘!$T$3:$T$302="无明显方向"))</f>
        <v>0</v>
      </c>
      <c r="H25" s="16" t="n">
        <f aca="false">SUMPRODUCT((每日复盘!$B$3:$B$302=A25)*(TEXT(每日复盘!$A$3:$A$302,"yyyy-mm")=B25)*(每日复盘!$AC$3:$AC$302="是"))</f>
        <v>0</v>
      </c>
    </row>
    <row r="26" customFormat="false" ht="15" hidden="false" customHeight="false" outlineLevel="0" collapsed="false">
      <c r="A26" s="16" t="s">
        <v>106</v>
      </c>
      <c r="B26" s="17" t="s">
        <v>93</v>
      </c>
      <c r="C26" s="16" t="n">
        <f aca="false">SUMPRODUCT((每日复盘!$B$3:$B$302=A26)*(TEXT(每日复盘!$A$3:$A$302,"yyyy-mm")=B26)*(每日复盘!$A$3:$A$302&lt;&gt;""))</f>
        <v>0</v>
      </c>
      <c r="D26" s="16" t="n">
        <f aca="false">SUMPRODUCT((每日复盘!$B$3:$B$302=A26)*(TEXT(每日复盘!$A$3:$A$302,"yyyy-mm")=B26)*(每日复盘!$T$3:$T$302="多头因素占优"))</f>
        <v>0</v>
      </c>
      <c r="E26" s="16" t="n">
        <f aca="false">SUMPRODUCT((每日复盘!$B$3:$B$302=A26)*(TEXT(每日复盘!$A$3:$A$302,"yyyy-mm")=B26)*(每日复盘!$T$3:$T$302="空头因素占优"))</f>
        <v>0</v>
      </c>
      <c r="F26" s="16" t="n">
        <f aca="false">SUMPRODUCT((每日复盘!$B$3:$B$302=A26)*(TEXT(每日复盘!$A$3:$A$302,"yyyy-mm")=B26)*(每日复盘!$T$3:$T$302="多空信号不一致"))</f>
        <v>0</v>
      </c>
      <c r="G26" s="16" t="n">
        <f aca="false">SUMPRODUCT((每日复盘!$B$3:$B$302=A26)*(TEXT(每日复盘!$A$3:$A$302,"yyyy-mm")=B26)*(每日复盘!$T$3:$T$302="无明显方向"))</f>
        <v>0</v>
      </c>
      <c r="H26" s="16" t="n">
        <f aca="false">SUMPRODUCT((每日复盘!$B$3:$B$302=A26)*(TEXT(每日复盘!$A$3:$A$302,"yyyy-mm")=B26)*(每日复盘!$AC$3:$AC$302="是"))</f>
        <v>0</v>
      </c>
    </row>
    <row r="27" customFormat="false" ht="15" hidden="false" customHeight="false" outlineLevel="0" collapsed="false">
      <c r="A27" s="16" t="s">
        <v>106</v>
      </c>
      <c r="B27" s="17" t="s">
        <v>94</v>
      </c>
      <c r="C27" s="16" t="n">
        <f aca="false">SUMPRODUCT((每日复盘!$B$3:$B$302=A27)*(TEXT(每日复盘!$A$3:$A$302,"yyyy-mm")=B27)*(每日复盘!$A$3:$A$302&lt;&gt;""))</f>
        <v>0</v>
      </c>
      <c r="D27" s="16" t="n">
        <f aca="false">SUMPRODUCT((每日复盘!$B$3:$B$302=A27)*(TEXT(每日复盘!$A$3:$A$302,"yyyy-mm")=B27)*(每日复盘!$T$3:$T$302="多头因素占优"))</f>
        <v>0</v>
      </c>
      <c r="E27" s="16" t="n">
        <f aca="false">SUMPRODUCT((每日复盘!$B$3:$B$302=A27)*(TEXT(每日复盘!$A$3:$A$302,"yyyy-mm")=B27)*(每日复盘!$T$3:$T$302="空头因素占优"))</f>
        <v>0</v>
      </c>
      <c r="F27" s="16" t="n">
        <f aca="false">SUMPRODUCT((每日复盘!$B$3:$B$302=A27)*(TEXT(每日复盘!$A$3:$A$302,"yyyy-mm")=B27)*(每日复盘!$T$3:$T$302="多空信号不一致"))</f>
        <v>0</v>
      </c>
      <c r="G27" s="16" t="n">
        <f aca="false">SUMPRODUCT((每日复盘!$B$3:$B$302=A27)*(TEXT(每日复盘!$A$3:$A$302,"yyyy-mm")=B27)*(每日复盘!$T$3:$T$302="无明显方向"))</f>
        <v>0</v>
      </c>
      <c r="H27" s="16" t="n">
        <f aca="false">SUMPRODUCT((每日复盘!$B$3:$B$302=A27)*(TEXT(每日复盘!$A$3:$A$302,"yyyy-mm")=B27)*(每日复盘!$AC$3:$AC$302="是"))</f>
        <v>0</v>
      </c>
    </row>
    <row r="28" customFormat="false" ht="15" hidden="false" customHeight="false" outlineLevel="0" collapsed="false">
      <c r="A28" s="16" t="s">
        <v>106</v>
      </c>
      <c r="B28" s="17" t="s">
        <v>95</v>
      </c>
      <c r="C28" s="16" t="n">
        <f aca="false">SUMPRODUCT((每日复盘!$B$3:$B$302=A28)*(TEXT(每日复盘!$A$3:$A$302,"yyyy-mm")=B28)*(每日复盘!$A$3:$A$302&lt;&gt;""))</f>
        <v>0</v>
      </c>
      <c r="D28" s="16" t="n">
        <f aca="false">SUMPRODUCT((每日复盘!$B$3:$B$302=A28)*(TEXT(每日复盘!$A$3:$A$302,"yyyy-mm")=B28)*(每日复盘!$T$3:$T$302="多头因素占优"))</f>
        <v>0</v>
      </c>
      <c r="E28" s="16" t="n">
        <f aca="false">SUMPRODUCT((每日复盘!$B$3:$B$302=A28)*(TEXT(每日复盘!$A$3:$A$302,"yyyy-mm")=B28)*(每日复盘!$T$3:$T$302="空头因素占优"))</f>
        <v>0</v>
      </c>
      <c r="F28" s="16" t="n">
        <f aca="false">SUMPRODUCT((每日复盘!$B$3:$B$302=A28)*(TEXT(每日复盘!$A$3:$A$302,"yyyy-mm")=B28)*(每日复盘!$T$3:$T$302="多空信号不一致"))</f>
        <v>0</v>
      </c>
      <c r="G28" s="16" t="n">
        <f aca="false">SUMPRODUCT((每日复盘!$B$3:$B$302=A28)*(TEXT(每日复盘!$A$3:$A$302,"yyyy-mm")=B28)*(每日复盘!$T$3:$T$302="无明显方向"))</f>
        <v>0</v>
      </c>
      <c r="H28" s="16" t="n">
        <f aca="false">SUMPRODUCT((每日复盘!$B$3:$B$302=A28)*(TEXT(每日复盘!$A$3:$A$302,"yyyy-mm")=B28)*(每日复盘!$AC$3:$AC$302="是"))</f>
        <v>0</v>
      </c>
    </row>
    <row r="29" customFormat="false" ht="15" hidden="false" customHeight="false" outlineLevel="0" collapsed="false">
      <c r="A29" s="16" t="s">
        <v>106</v>
      </c>
      <c r="B29" s="17" t="s">
        <v>96</v>
      </c>
      <c r="C29" s="16" t="n">
        <f aca="false">SUMPRODUCT((每日复盘!$B$3:$B$302=A29)*(TEXT(每日复盘!$A$3:$A$302,"yyyy-mm")=B29)*(每日复盘!$A$3:$A$302&lt;&gt;""))</f>
        <v>0</v>
      </c>
      <c r="D29" s="16" t="n">
        <f aca="false">SUMPRODUCT((每日复盘!$B$3:$B$302=A29)*(TEXT(每日复盘!$A$3:$A$302,"yyyy-mm")=B29)*(每日复盘!$T$3:$T$302="多头因素占优"))</f>
        <v>0</v>
      </c>
      <c r="E29" s="16" t="n">
        <f aca="false">SUMPRODUCT((每日复盘!$B$3:$B$302=A29)*(TEXT(每日复盘!$A$3:$A$302,"yyyy-mm")=B29)*(每日复盘!$T$3:$T$302="空头因素占优"))</f>
        <v>0</v>
      </c>
      <c r="F29" s="16" t="n">
        <f aca="false">SUMPRODUCT((每日复盘!$B$3:$B$302=A29)*(TEXT(每日复盘!$A$3:$A$302,"yyyy-mm")=B29)*(每日复盘!$T$3:$T$302="多空信号不一致"))</f>
        <v>0</v>
      </c>
      <c r="G29" s="16" t="n">
        <f aca="false">SUMPRODUCT((每日复盘!$B$3:$B$302=A29)*(TEXT(每日复盘!$A$3:$A$302,"yyyy-mm")=B29)*(每日复盘!$T$3:$T$302="无明显方向"))</f>
        <v>0</v>
      </c>
      <c r="H29" s="16" t="n">
        <f aca="false">SUMPRODUCT((每日复盘!$B$3:$B$302=A29)*(TEXT(每日复盘!$A$3:$A$302,"yyyy-mm")=B29)*(每日复盘!$AC$3:$AC$302="是"))</f>
        <v>0</v>
      </c>
    </row>
    <row r="30" customFormat="false" ht="15" hidden="false" customHeight="false" outlineLevel="0" collapsed="false">
      <c r="A30" s="16" t="s">
        <v>106</v>
      </c>
      <c r="B30" s="17" t="s">
        <v>97</v>
      </c>
      <c r="C30" s="16" t="n">
        <f aca="false">SUMPRODUCT((每日复盘!$B$3:$B$302=A30)*(TEXT(每日复盘!$A$3:$A$302,"yyyy-mm")=B30)*(每日复盘!$A$3:$A$302&lt;&gt;""))</f>
        <v>0</v>
      </c>
      <c r="D30" s="16" t="n">
        <f aca="false">SUMPRODUCT((每日复盘!$B$3:$B$302=A30)*(TEXT(每日复盘!$A$3:$A$302,"yyyy-mm")=B30)*(每日复盘!$T$3:$T$302="多头因素占优"))</f>
        <v>0</v>
      </c>
      <c r="E30" s="16" t="n">
        <f aca="false">SUMPRODUCT((每日复盘!$B$3:$B$302=A30)*(TEXT(每日复盘!$A$3:$A$302,"yyyy-mm")=B30)*(每日复盘!$T$3:$T$302="空头因素占优"))</f>
        <v>0</v>
      </c>
      <c r="F30" s="16" t="n">
        <f aca="false">SUMPRODUCT((每日复盘!$B$3:$B$302=A30)*(TEXT(每日复盘!$A$3:$A$302,"yyyy-mm")=B30)*(每日复盘!$T$3:$T$302="多空信号不一致"))</f>
        <v>0</v>
      </c>
      <c r="G30" s="16" t="n">
        <f aca="false">SUMPRODUCT((每日复盘!$B$3:$B$302=A30)*(TEXT(每日复盘!$A$3:$A$302,"yyyy-mm")=B30)*(每日复盘!$T$3:$T$302="无明显方向"))</f>
        <v>0</v>
      </c>
      <c r="H30" s="16" t="n">
        <f aca="false">SUMPRODUCT((每日复盘!$B$3:$B$302=A30)*(TEXT(每日复盘!$A$3:$A$302,"yyyy-mm")=B30)*(每日复盘!$AC$3:$AC$302="是"))</f>
        <v>0</v>
      </c>
    </row>
    <row r="31" customFormat="false" ht="15" hidden="false" customHeight="false" outlineLevel="0" collapsed="false">
      <c r="A31" s="16" t="s">
        <v>106</v>
      </c>
      <c r="B31" s="17" t="s">
        <v>98</v>
      </c>
      <c r="C31" s="16" t="n">
        <f aca="false">SUMPRODUCT((每日复盘!$B$3:$B$302=A31)*(TEXT(每日复盘!$A$3:$A$302,"yyyy-mm")=B31)*(每日复盘!$A$3:$A$302&lt;&gt;""))</f>
        <v>0</v>
      </c>
      <c r="D31" s="16" t="n">
        <f aca="false">SUMPRODUCT((每日复盘!$B$3:$B$302=A31)*(TEXT(每日复盘!$A$3:$A$302,"yyyy-mm")=B31)*(每日复盘!$T$3:$T$302="多头因素占优"))</f>
        <v>0</v>
      </c>
      <c r="E31" s="16" t="n">
        <f aca="false">SUMPRODUCT((每日复盘!$B$3:$B$302=A31)*(TEXT(每日复盘!$A$3:$A$302,"yyyy-mm")=B31)*(每日复盘!$T$3:$T$302="空头因素占优"))</f>
        <v>0</v>
      </c>
      <c r="F31" s="16" t="n">
        <f aca="false">SUMPRODUCT((每日复盘!$B$3:$B$302=A31)*(TEXT(每日复盘!$A$3:$A$302,"yyyy-mm")=B31)*(每日复盘!$T$3:$T$302="多空信号不一致"))</f>
        <v>0</v>
      </c>
      <c r="G31" s="16" t="n">
        <f aca="false">SUMPRODUCT((每日复盘!$B$3:$B$302=A31)*(TEXT(每日复盘!$A$3:$A$302,"yyyy-mm")=B31)*(每日复盘!$T$3:$T$302="无明显方向"))</f>
        <v>0</v>
      </c>
      <c r="H31" s="16" t="n">
        <f aca="false">SUMPRODUCT((每日复盘!$B$3:$B$302=A31)*(TEXT(每日复盘!$A$3:$A$302,"yyyy-mm")=B31)*(每日复盘!$AC$3:$AC$302="是"))</f>
        <v>0</v>
      </c>
    </row>
    <row r="32" customFormat="false" ht="15" hidden="false" customHeight="false" outlineLevel="0" collapsed="false">
      <c r="A32" s="16" t="s">
        <v>106</v>
      </c>
      <c r="B32" s="17" t="s">
        <v>99</v>
      </c>
      <c r="C32" s="16" t="n">
        <f aca="false">SUMPRODUCT((每日复盘!$B$3:$B$302=A32)*(TEXT(每日复盘!$A$3:$A$302,"yyyy-mm")=B32)*(每日复盘!$A$3:$A$302&lt;&gt;""))</f>
        <v>0</v>
      </c>
      <c r="D32" s="16" t="n">
        <f aca="false">SUMPRODUCT((每日复盘!$B$3:$B$302=A32)*(TEXT(每日复盘!$A$3:$A$302,"yyyy-mm")=B32)*(每日复盘!$T$3:$T$302="多头因素占优"))</f>
        <v>0</v>
      </c>
      <c r="E32" s="16" t="n">
        <f aca="false">SUMPRODUCT((每日复盘!$B$3:$B$302=A32)*(TEXT(每日复盘!$A$3:$A$302,"yyyy-mm")=B32)*(每日复盘!$T$3:$T$302="空头因素占优"))</f>
        <v>0</v>
      </c>
      <c r="F32" s="16" t="n">
        <f aca="false">SUMPRODUCT((每日复盘!$B$3:$B$302=A32)*(TEXT(每日复盘!$A$3:$A$302,"yyyy-mm")=B32)*(每日复盘!$T$3:$T$302="多空信号不一致"))</f>
        <v>0</v>
      </c>
      <c r="G32" s="16" t="n">
        <f aca="false">SUMPRODUCT((每日复盘!$B$3:$B$302=A32)*(TEXT(每日复盘!$A$3:$A$302,"yyyy-mm")=B32)*(每日复盘!$T$3:$T$302="无明显方向"))</f>
        <v>0</v>
      </c>
      <c r="H32" s="16" t="n">
        <f aca="false">SUMPRODUCT((每日复盘!$B$3:$B$302=A32)*(TEXT(每日复盘!$A$3:$A$302,"yyyy-mm")=B32)*(每日复盘!$AC$3:$AC$302="是"))</f>
        <v>0</v>
      </c>
    </row>
    <row r="33" customFormat="false" ht="15" hidden="false" customHeight="false" outlineLevel="0" collapsed="false">
      <c r="A33" s="16" t="s">
        <v>106</v>
      </c>
      <c r="B33" s="17" t="s">
        <v>100</v>
      </c>
      <c r="C33" s="16" t="n">
        <f aca="false">SUMPRODUCT((每日复盘!$B$3:$B$302=A33)*(TEXT(每日复盘!$A$3:$A$302,"yyyy-mm")=B33)*(每日复盘!$A$3:$A$302&lt;&gt;""))</f>
        <v>0</v>
      </c>
      <c r="D33" s="16" t="n">
        <f aca="false">SUMPRODUCT((每日复盘!$B$3:$B$302=A33)*(TEXT(每日复盘!$A$3:$A$302,"yyyy-mm")=B33)*(每日复盘!$T$3:$T$302="多头因素占优"))</f>
        <v>0</v>
      </c>
      <c r="E33" s="16" t="n">
        <f aca="false">SUMPRODUCT((每日复盘!$B$3:$B$302=A33)*(TEXT(每日复盘!$A$3:$A$302,"yyyy-mm")=B33)*(每日复盘!$T$3:$T$302="空头因素占优"))</f>
        <v>0</v>
      </c>
      <c r="F33" s="16" t="n">
        <f aca="false">SUMPRODUCT((每日复盘!$B$3:$B$302=A33)*(TEXT(每日复盘!$A$3:$A$302,"yyyy-mm")=B33)*(每日复盘!$T$3:$T$302="多空信号不一致"))</f>
        <v>0</v>
      </c>
      <c r="G33" s="16" t="n">
        <f aca="false">SUMPRODUCT((每日复盘!$B$3:$B$302=A33)*(TEXT(每日复盘!$A$3:$A$302,"yyyy-mm")=B33)*(每日复盘!$T$3:$T$302="无明显方向"))</f>
        <v>0</v>
      </c>
      <c r="H33" s="16" t="n">
        <f aca="false">SUMPRODUCT((每日复盘!$B$3:$B$302=A33)*(TEXT(每日复盘!$A$3:$A$302,"yyyy-mm")=B33)*(每日复盘!$AC$3:$AC$302="是"))</f>
        <v>0</v>
      </c>
    </row>
    <row r="34" customFormat="false" ht="15" hidden="false" customHeight="false" outlineLevel="0" collapsed="false">
      <c r="A34" s="16" t="s">
        <v>106</v>
      </c>
      <c r="B34" s="17" t="s">
        <v>101</v>
      </c>
      <c r="C34" s="16" t="n">
        <f aca="false">SUMPRODUCT((每日复盘!$B$3:$B$302=A34)*(TEXT(每日复盘!$A$3:$A$302,"yyyy-mm")=B34)*(每日复盘!$A$3:$A$302&lt;&gt;""))</f>
        <v>0</v>
      </c>
      <c r="D34" s="16" t="n">
        <f aca="false">SUMPRODUCT((每日复盘!$B$3:$B$302=A34)*(TEXT(每日复盘!$A$3:$A$302,"yyyy-mm")=B34)*(每日复盘!$T$3:$T$302="多头因素占优"))</f>
        <v>0</v>
      </c>
      <c r="E34" s="16" t="n">
        <f aca="false">SUMPRODUCT((每日复盘!$B$3:$B$302=A34)*(TEXT(每日复盘!$A$3:$A$302,"yyyy-mm")=B34)*(每日复盘!$T$3:$T$302="空头因素占优"))</f>
        <v>0</v>
      </c>
      <c r="F34" s="16" t="n">
        <f aca="false">SUMPRODUCT((每日复盘!$B$3:$B$302=A34)*(TEXT(每日复盘!$A$3:$A$302,"yyyy-mm")=B34)*(每日复盘!$T$3:$T$302="多空信号不一致"))</f>
        <v>0</v>
      </c>
      <c r="G34" s="16" t="n">
        <f aca="false">SUMPRODUCT((每日复盘!$B$3:$B$302=A34)*(TEXT(每日复盘!$A$3:$A$302,"yyyy-mm")=B34)*(每日复盘!$T$3:$T$302="无明显方向"))</f>
        <v>0</v>
      </c>
      <c r="H34" s="16" t="n">
        <f aca="false">SUMPRODUCT((每日复盘!$B$3:$B$302=A34)*(TEXT(每日复盘!$A$3:$A$302,"yyyy-mm")=B34)*(每日复盘!$AC$3:$AC$302="是"))</f>
        <v>0</v>
      </c>
    </row>
    <row r="35" customFormat="false" ht="15" hidden="false" customHeight="false" outlineLevel="0" collapsed="false">
      <c r="A35" s="16" t="s">
        <v>106</v>
      </c>
      <c r="B35" s="17" t="s">
        <v>102</v>
      </c>
      <c r="C35" s="16" t="n">
        <f aca="false">SUMPRODUCT((每日复盘!$B$3:$B$302=A35)*(TEXT(每日复盘!$A$3:$A$302,"yyyy-mm")=B35)*(每日复盘!$A$3:$A$302&lt;&gt;""))</f>
        <v>0</v>
      </c>
      <c r="D35" s="16" t="n">
        <f aca="false">SUMPRODUCT((每日复盘!$B$3:$B$302=A35)*(TEXT(每日复盘!$A$3:$A$302,"yyyy-mm")=B35)*(每日复盘!$T$3:$T$302="多头因素占优"))</f>
        <v>0</v>
      </c>
      <c r="E35" s="16" t="n">
        <f aca="false">SUMPRODUCT((每日复盘!$B$3:$B$302=A35)*(TEXT(每日复盘!$A$3:$A$302,"yyyy-mm")=B35)*(每日复盘!$T$3:$T$302="空头因素占优"))</f>
        <v>0</v>
      </c>
      <c r="F35" s="16" t="n">
        <f aca="false">SUMPRODUCT((每日复盘!$B$3:$B$302=A35)*(TEXT(每日复盘!$A$3:$A$302,"yyyy-mm")=B35)*(每日复盘!$T$3:$T$302="多空信号不一致"))</f>
        <v>0</v>
      </c>
      <c r="G35" s="16" t="n">
        <f aca="false">SUMPRODUCT((每日复盘!$B$3:$B$302=A35)*(TEXT(每日复盘!$A$3:$A$302,"yyyy-mm")=B35)*(每日复盘!$T$3:$T$302="无明显方向"))</f>
        <v>0</v>
      </c>
      <c r="H35" s="16" t="n">
        <f aca="false">SUMPRODUCT((每日复盘!$B$3:$B$302=A35)*(TEXT(每日复盘!$A$3:$A$302,"yyyy-mm")=B35)*(每日复盘!$AC$3:$AC$302="是"))</f>
        <v>0</v>
      </c>
    </row>
    <row r="36" customFormat="false" ht="15" hidden="false" customHeight="false" outlineLevel="0" collapsed="false">
      <c r="A36" s="16" t="s">
        <v>106</v>
      </c>
      <c r="B36" s="17" t="s">
        <v>103</v>
      </c>
      <c r="C36" s="16" t="n">
        <f aca="false">SUMPRODUCT((每日复盘!$B$3:$B$302=A36)*(TEXT(每日复盘!$A$3:$A$302,"yyyy-mm")=B36)*(每日复盘!$A$3:$A$302&lt;&gt;""))</f>
        <v>0</v>
      </c>
      <c r="D36" s="16" t="n">
        <f aca="false">SUMPRODUCT((每日复盘!$B$3:$B$302=A36)*(TEXT(每日复盘!$A$3:$A$302,"yyyy-mm")=B36)*(每日复盘!$T$3:$T$302="多头因素占优"))</f>
        <v>0</v>
      </c>
      <c r="E36" s="16" t="n">
        <f aca="false">SUMPRODUCT((每日复盘!$B$3:$B$302=A36)*(TEXT(每日复盘!$A$3:$A$302,"yyyy-mm")=B36)*(每日复盘!$T$3:$T$302="空头因素占优"))</f>
        <v>0</v>
      </c>
      <c r="F36" s="16" t="n">
        <f aca="false">SUMPRODUCT((每日复盘!$B$3:$B$302=A36)*(TEXT(每日复盘!$A$3:$A$302,"yyyy-mm")=B36)*(每日复盘!$T$3:$T$302="多空信号不一致"))</f>
        <v>0</v>
      </c>
      <c r="G36" s="16" t="n">
        <f aca="false">SUMPRODUCT((每日复盘!$B$3:$B$302=A36)*(TEXT(每日复盘!$A$3:$A$302,"yyyy-mm")=B36)*(每日复盘!$T$3:$T$302="无明显方向"))</f>
        <v>0</v>
      </c>
      <c r="H36" s="16" t="n">
        <f aca="false">SUMPRODUCT((每日复盘!$B$3:$B$302=A36)*(TEXT(每日复盘!$A$3:$A$302,"yyyy-mm")=B36)*(每日复盘!$AC$3:$AC$302="是"))</f>
        <v>0</v>
      </c>
    </row>
    <row r="37" customFormat="false" ht="15" hidden="false" customHeight="false" outlineLevel="0" collapsed="false">
      <c r="A37" s="16" t="s">
        <v>106</v>
      </c>
      <c r="B37" s="17" t="s">
        <v>104</v>
      </c>
      <c r="C37" s="16" t="n">
        <f aca="false">SUMPRODUCT((每日复盘!$B$3:$B$302=A37)*(TEXT(每日复盘!$A$3:$A$302,"yyyy-mm")=B37)*(每日复盘!$A$3:$A$302&lt;&gt;""))</f>
        <v>0</v>
      </c>
      <c r="D37" s="16" t="n">
        <f aca="false">SUMPRODUCT((每日复盘!$B$3:$B$302=A37)*(TEXT(每日复盘!$A$3:$A$302,"yyyy-mm")=B37)*(每日复盘!$T$3:$T$302="多头因素占优"))</f>
        <v>0</v>
      </c>
      <c r="E37" s="16" t="n">
        <f aca="false">SUMPRODUCT((每日复盘!$B$3:$B$302=A37)*(TEXT(每日复盘!$A$3:$A$302,"yyyy-mm")=B37)*(每日复盘!$T$3:$T$302="空头因素占优"))</f>
        <v>0</v>
      </c>
      <c r="F37" s="16" t="n">
        <f aca="false">SUMPRODUCT((每日复盘!$B$3:$B$302=A37)*(TEXT(每日复盘!$A$3:$A$302,"yyyy-mm")=B37)*(每日复盘!$T$3:$T$302="多空信号不一致"))</f>
        <v>0</v>
      </c>
      <c r="G37" s="16" t="n">
        <f aca="false">SUMPRODUCT((每日复盘!$B$3:$B$302=A37)*(TEXT(每日复盘!$A$3:$A$302,"yyyy-mm")=B37)*(每日复盘!$T$3:$T$302="无明显方向"))</f>
        <v>0</v>
      </c>
      <c r="H37" s="16" t="n">
        <f aca="false">SUMPRODUCT((每日复盘!$B$3:$B$302=A37)*(TEXT(每日复盘!$A$3:$A$302,"yyyy-mm")=B37)*(每日复盘!$AC$3:$AC$302="是"))</f>
        <v>0</v>
      </c>
    </row>
    <row r="39" customFormat="false" ht="48" hidden="false" customHeight="true" outlineLevel="0" collapsed="false">
      <c r="A39" s="18" t="s">
        <v>107</v>
      </c>
      <c r="B39" s="18"/>
      <c r="C39" s="18"/>
      <c r="D39" s="18"/>
      <c r="E39" s="18"/>
      <c r="F39" s="18"/>
      <c r="G39" s="18"/>
      <c r="H39" s="18"/>
    </row>
  </sheetData>
  <mergeCells count="1">
    <mergeCell ref="A39:H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2026-08-24T08:36:24Z</dcterms:created>
  <dc:creator>openpyxl</dc:creator>
  <dc:description/>
  <dc:language>en-US</dc:language>
  <cp:lastModifiedBy/>
  <dcterms:modified xsi:type="dcterms:W3CDTF">2026-08-24T08:36:25Z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