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每日复盘" sheetId="2" state="visible" r:id="rId4"/>
    <sheet name="月度统计" sheetId="3" state="visible" r:id="rId5"/>
  </sheets>
  <definedNames>
    <definedName function="false" hidden="true" localSheetId="1" name="_xlnm._FilterDatabase" vbProcedure="false">每日复盘!$A$1:$AE$302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<sst xmlns="http://schemas.openxmlformats.org/spreadsheetml/2006/main" count="111" uniqueCount="104">
  <si>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期货复盘日志 —— 使用说明</t>
  </si>
  <si>
    <r>
      <rPr>
        <sz val="11"/>
        <rFont val="Noto Sans CJK SC"/>
        <family val="2"/>
      </rPr>
      <t xml:space="preserve">这份表配合 </t>
    </r>
    <r>
      <rPr>
        <sz val="11"/>
        <rFont val="Microsoft YaHei"/>
        <family val="0"/>
        <charset val="1"/>
      </rPr>
      <t xml:space="preserve">futures_lab </t>
    </r>
    <r>
      <rPr>
        <sz val="11"/>
        <rFont val="Noto Sans CJK SC"/>
        <family val="2"/>
      </rPr>
      <t xml:space="preserve">系统使用：每天花几分钟，把系统页面上已经算好的数字抄过来，再手写几句自己的判断，长期积累下来，一是能验证系统给出的信号准不准，二是能给案例库（</t>
    </r>
    <r>
      <rPr>
        <sz val="11"/>
        <rFont val="Microsoft YaHei"/>
        <family val="0"/>
        <charset val="1"/>
      </rPr>
      <t xml:space="preserve">/admin </t>
    </r>
    <r>
      <rPr>
        <sz val="11"/>
        <rFont val="Noto Sans CJK SC"/>
        <family val="2"/>
      </rPr>
      <t xml:space="preserve">里的 </t>
    </r>
    <r>
      <rPr>
        <sz val="11"/>
        <rFont val="Microsoft YaHei"/>
        <family val="0"/>
        <charset val="1"/>
      </rPr>
      <t xml:space="preserve">Case </t>
    </r>
    <r>
      <rPr>
        <sz val="11"/>
        <rFont val="Noto Sans CJK SC"/>
        <family val="2"/>
      </rPr>
      <t xml:space="preserve">表）积累原始素材——具体怎么把日常记录升级成正式案例，见本说明最后一段。</t>
    </r>
  </si>
  <si>
    <r>
      <rPr>
        <b val="true"/>
        <sz val="12"/>
        <color rgb="FF1F4E78"/>
        <rFont val="Noto Sans CJK SC"/>
        <family val="2"/>
      </rPr>
      <t xml:space="preserve">「每日复盘」</t>
    </r>
    <r>
      <rPr>
        <b val="true"/>
        <sz val="12"/>
        <color rgb="FF1F4E78"/>
        <rFont val="Microsoft YaHei"/>
        <family val="0"/>
        <charset val="1"/>
      </rPr>
      <t xml:space="preserve">sheet </t>
    </r>
    <r>
      <rPr>
        <b val="true"/>
        <sz val="12"/>
        <color rgb="FF1F4E78"/>
        <rFont val="Noto Sans CJK SC"/>
        <family val="2"/>
      </rPr>
      <t xml:space="preserve">里两种颜色的列，含义不一样：</t>
    </r>
  </si>
  <si>
    <r>
      <rPr>
        <sz val="11"/>
        <rFont val="Noto Sans CJK SC"/>
        <family val="2"/>
      </rPr>
      <t xml:space="preserve">蓝色表头的列 —— 抄数据。打开对应品种的详情页（例如 </t>
    </r>
    <r>
      <rPr>
        <sz val="11"/>
        <rFont val="Microsoft YaHei"/>
        <family val="0"/>
        <charset val="1"/>
      </rPr>
      <t xml:space="preserve">http://127.0.0.1:5000/variety/SA</t>
    </r>
    <r>
      <rPr>
        <sz val="11"/>
        <rFont val="Noto Sans CJK SC"/>
        <family val="2"/>
      </rPr>
      <t xml:space="preserve">），把页面上卡片里已经算好的数字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状态原样抄过来，不需要自己判断，几秒钟一列。</t>
    </r>
  </si>
  <si>
    <t xml:space="preserve">黄色表头的列 —— 写判断。这些系统算不出来，需要自己当天观察、当天写，是复盘真正花心思的地方（比如市场情绪、有没有新政策、自己的操作是否符合原则）。</t>
  </si>
  <si>
    <t xml:space="preserve">「每日复盘」每一列具体从哪里抄、怎么填：</t>
  </si>
  <si>
    <r>
      <rPr>
        <b val="true"/>
        <sz val="11"/>
        <rFont val="Noto Sans CJK SC"/>
        <family val="2"/>
      </rPr>
      <t xml:space="preserve">● 日期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品种代码</t>
    </r>
  </si>
  <si>
    <r>
      <rPr>
        <sz val="11"/>
        <rFont val="Noto Sans CJK SC"/>
        <family val="2"/>
      </rPr>
      <t xml:space="preserve">当天日期 </t>
    </r>
    <r>
      <rPr>
        <sz val="11"/>
        <rFont val="Microsoft YaHei"/>
        <family val="0"/>
        <charset val="1"/>
      </rPr>
      <t xml:space="preserve">+ </t>
    </r>
    <r>
      <rPr>
        <sz val="11"/>
        <rFont val="Noto Sans CJK SC"/>
        <family val="2"/>
      </rPr>
      <t xml:space="preserve">品种代码（</t>
    </r>
    <r>
      <rPr>
        <sz val="11"/>
        <rFont val="Microsoft YaHei"/>
        <family val="0"/>
        <charset val="1"/>
      </rPr>
      <t xml:space="preserve">SA/FG/M...</t>
    </r>
    <r>
      <rPr>
        <sz val="11"/>
        <rFont val="Noto Sans CJK SC"/>
        <family val="2"/>
      </rPr>
      <t xml:space="preserve">），一个品种一行，同一天多个品种就分几行填。</t>
    </r>
  </si>
  <si>
    <r>
      <rPr>
        <b val="true"/>
        <sz val="11"/>
        <rFont val="Noto Sans CJK SC"/>
        <family val="2"/>
      </rPr>
      <t xml:space="preserve">● 收盘价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涨跌幅</t>
    </r>
    <r>
      <rPr>
        <b val="true"/>
        <sz val="11"/>
        <rFont val="Microsoft YaHei"/>
        <family val="0"/>
        <charset val="1"/>
      </rPr>
      <t xml:space="preserve">(%)</t>
    </r>
  </si>
  <si>
    <r>
      <rPr>
        <sz val="11"/>
        <rFont val="Noto Sans CJK SC"/>
        <family val="2"/>
      </rPr>
      <t xml:space="preserve">品种详情页顶部「价格快照」，涨跌幅</t>
    </r>
    <r>
      <rPr>
        <sz val="11"/>
        <rFont val="Microsoft YaHei"/>
        <family val="0"/>
        <charset val="1"/>
      </rPr>
      <t xml:space="preserve">=</t>
    </r>
    <r>
      <rPr>
        <sz val="11"/>
        <rFont val="Noto Sans CJK SC"/>
        <family val="2"/>
      </rPr>
      <t xml:space="preserve">（今日收盘</t>
    </r>
    <r>
      <rPr>
        <sz val="11"/>
        <rFont val="Microsoft YaHei"/>
        <family val="0"/>
        <charset val="1"/>
      </rPr>
      <t xml:space="preserve">-</t>
    </r>
    <r>
      <rPr>
        <sz val="11"/>
        <rFont val="Noto Sans CJK SC"/>
        <family val="2"/>
      </rPr>
      <t xml:space="preserve">昨日收盘）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昨日收盘。</t>
    </r>
  </si>
  <si>
    <r>
      <rPr>
        <b val="true"/>
        <sz val="11"/>
        <rFont val="Noto Sans CJK SC"/>
        <family val="2"/>
      </rPr>
      <t xml:space="preserve">● 价格分位数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所处区间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是否极端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极端持续天数</t>
    </r>
  </si>
  <si>
    <r>
      <rPr>
        <sz val="11"/>
        <rFont val="Noto Sans CJK SC"/>
        <family val="2"/>
      </rPr>
      <t xml:space="preserve">品种详情页「事前状态」卡片里价格维度那一组：分位数、方向（高位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低位）、是否标了「极端区间」、连续天数。</t>
    </r>
  </si>
  <si>
    <r>
      <rPr>
        <b val="true"/>
        <sz val="11"/>
        <rFont val="Noto Sans CJK SC"/>
        <family val="2"/>
      </rPr>
      <t xml:space="preserve">● 利润分位数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所处区间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是否极端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持续天数</t>
    </r>
  </si>
  <si>
    <r>
      <rPr>
        <sz val="11"/>
        <rFont val="Noto Sans CJK SC"/>
        <family val="2"/>
      </rPr>
      <t xml:space="preserve">品种详情页「利润率信号」卡片，字段含义同上，只是维度换成利润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加工费。</t>
    </r>
  </si>
  <si>
    <r>
      <rPr>
        <b val="true"/>
        <sz val="11"/>
        <rFont val="Noto Sans CJK SC"/>
        <family val="2"/>
      </rPr>
      <t xml:space="preserve">● 筹码信号是否触发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方向</t>
    </r>
  </si>
  <si>
    <r>
      <rPr>
        <sz val="11"/>
        <rFont val="Noto Sans CJK SC"/>
        <family val="2"/>
      </rPr>
      <t xml:space="preserve">品种详情页「筹码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仓单异常」卡片：有没有触发提示，触发的话是异常放大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萎缩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骤增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骤减。</t>
    </r>
  </si>
  <si>
    <r>
      <rPr>
        <b val="true"/>
        <sz val="11"/>
        <rFont val="Noto Sans CJK SC"/>
        <family val="2"/>
      </rPr>
      <t xml:space="preserve">● 基差值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基差状态</t>
    </r>
  </si>
  <si>
    <r>
      <rPr>
        <sz val="11"/>
        <rFont val="Noto Sans CJK SC"/>
        <family val="2"/>
      </rPr>
      <t xml:space="preserve">品种详情页基差卡片或 </t>
    </r>
    <r>
      <rPr>
        <sz val="11"/>
        <rFont val="Microsoft YaHei"/>
        <family val="0"/>
        <charset val="1"/>
      </rPr>
      <t xml:space="preserve">position </t>
    </r>
    <r>
      <rPr>
        <sz val="11"/>
        <rFont val="Noto Sans CJK SC"/>
        <family val="2"/>
      </rPr>
      <t xml:space="preserve">详情页。注意：</t>
    </r>
    <r>
      <rPr>
        <sz val="11"/>
        <rFont val="Microsoft YaHei"/>
        <family val="0"/>
        <charset val="1"/>
      </rPr>
      <t xml:space="preserve">basis_value </t>
    </r>
    <r>
      <rPr>
        <sz val="11"/>
        <rFont val="Noto Sans CJK SC"/>
        <family val="2"/>
      </rPr>
      <t xml:space="preserve">的正负号不直观，务必连着「状态」列（升水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贴水）一起看，不要只看正负号猜方向——这是 </t>
    </r>
    <r>
      <rPr>
        <sz val="11"/>
        <rFont val="Microsoft YaHei"/>
        <family val="0"/>
        <charset val="1"/>
      </rPr>
      <t xml:space="preserve">system_design.md </t>
    </r>
    <r>
      <rPr>
        <sz val="11"/>
        <rFont val="Noto Sans CJK SC"/>
        <family val="2"/>
      </rPr>
      <t xml:space="preserve">里特别提醒过的坑。</t>
    </r>
  </si>
  <si>
    <r>
      <rPr>
        <b val="true"/>
        <sz val="11"/>
        <rFont val="Noto Sans CJK SC"/>
        <family val="2"/>
      </rPr>
      <t xml:space="preserve">● 持仓量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仓单量</t>
    </r>
  </si>
  <si>
    <r>
      <rPr>
        <sz val="11"/>
        <rFont val="Microsoft YaHei"/>
        <family val="0"/>
        <charset val="1"/>
      </rPr>
      <t xml:space="preserve">/position/</t>
    </r>
    <r>
      <rPr>
        <sz val="11"/>
        <rFont val="Noto Sans CJK SC"/>
        <family val="2"/>
      </rPr>
      <t xml:space="preserve">品种代码 详情页最新一天的持仓量、仓单量读数。</t>
    </r>
  </si>
  <si>
    <t xml:space="preserve">● 现状体检异常项</t>
  </si>
  <si>
    <t xml:space="preserve">品种详情页「现状体检」卡片，有没有因子被标「偏热」或「异常」，有的话写因子名字。</t>
  </si>
  <si>
    <r>
      <rPr>
        <b val="true"/>
        <sz val="11"/>
        <rFont val="Noto Sans CJK SC"/>
        <family val="2"/>
      </rPr>
      <t xml:space="preserve">● 系统</t>
    </r>
    <r>
      <rPr>
        <b val="true"/>
        <sz val="11"/>
        <rFont val="Microsoft YaHei"/>
        <family val="0"/>
        <charset val="1"/>
      </rPr>
      <t xml:space="preserve">composite</t>
    </r>
    <r>
      <rPr>
        <b val="true"/>
        <sz val="11"/>
        <rFont val="Noto Sans CJK SC"/>
        <family val="2"/>
      </rPr>
      <t xml:space="preserve">结论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置信度</t>
    </r>
  </si>
  <si>
    <r>
      <rPr>
        <sz val="11"/>
        <rFont val="Noto Sans CJK SC"/>
        <family val="2"/>
      </rPr>
      <t xml:space="preserve">品种详情页顶部「决策参考</t>
    </r>
    <r>
      <rPr>
        <sz val="11"/>
        <rFont val="Microsoft YaHei"/>
        <family val="0"/>
        <charset val="1"/>
      </rPr>
      <t xml:space="preserve">·</t>
    </r>
    <r>
      <rPr>
        <sz val="11"/>
        <rFont val="Noto Sans CJK SC"/>
        <family val="2"/>
      </rPr>
      <t xml:space="preserve">信号对齐」卡片：多头因素占优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空头因素占优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多空信号不一致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无明显方向，以及高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中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低置信度。</t>
    </r>
  </si>
  <si>
    <r>
      <rPr>
        <b val="true"/>
        <sz val="11"/>
        <rFont val="Noto Sans CJK SC"/>
        <family val="2"/>
      </rPr>
      <t xml:space="preserve">● 是否匹配历史案例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风险回报参考</t>
    </r>
  </si>
  <si>
    <r>
      <rPr>
        <sz val="11"/>
        <rFont val="Noto Sans CJK SC"/>
        <family val="2"/>
      </rPr>
      <t xml:space="preserve">「历史相似案例参照」卡片：有没有匹配到案例、案例名称，以及案例的最大涨幅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最大回撤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用时（如果有）。</t>
    </r>
  </si>
  <si>
    <r>
      <rPr>
        <b val="true"/>
        <sz val="11"/>
        <rFont val="Noto Sans CJK SC"/>
        <family val="2"/>
      </rPr>
      <t xml:space="preserve">● 今日新增事件</t>
    </r>
    <r>
      <rPr>
        <b val="true"/>
        <sz val="11"/>
        <rFont val="Microsoft YaHe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政策</t>
    </r>
  </si>
  <si>
    <r>
      <rPr>
        <sz val="11"/>
        <rFont val="Microsoft YaHei"/>
        <family val="0"/>
        <charset val="1"/>
      </rPr>
      <t xml:space="preserve">/calendar/ </t>
    </r>
    <r>
      <rPr>
        <sz val="11"/>
        <rFont val="Noto Sans CJK SC"/>
        <family val="2"/>
      </rPr>
      <t xml:space="preserve">页面，看看今天有没有新出现的品种事件或政策，没有就写「无」。</t>
    </r>
  </si>
  <si>
    <t xml:space="preserve">● 市场当天主流解读</t>
  </si>
  <si>
    <r>
      <rPr>
        <sz val="11"/>
        <rFont val="Noto Sans CJK SC"/>
        <family val="2"/>
      </rPr>
      <t xml:space="preserve">自己写：今天市场普遍的情绪氛围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主流观点是怎么解释这段行情的，跟你自己的判断不用一致。</t>
    </r>
  </si>
  <si>
    <t xml:space="preserve">● 系统未覆盖的异常信息</t>
  </si>
  <si>
    <t xml:space="preserve">自己写：任何你注意到、但上面这些卡片都没体现的异常情况（比如某条消息、某个反常的下游报价）。</t>
  </si>
  <si>
    <r>
      <rPr>
        <b val="true"/>
        <sz val="11"/>
        <rFont val="Noto Sans CJK SC"/>
        <family val="2"/>
      </rPr>
      <t xml:space="preserve">● 今日交易操作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是否符合原则</t>
    </r>
  </si>
  <si>
    <r>
      <rPr>
        <sz val="11"/>
        <rFont val="Noto Sans CJK SC"/>
        <family val="2"/>
      </rPr>
      <t xml:space="preserve">自己写：今天开平仓、方向、仓位大小；再对照 </t>
    </r>
    <r>
      <rPr>
        <sz val="11"/>
        <rFont val="Microsoft YaHei"/>
        <family val="0"/>
        <charset val="1"/>
      </rPr>
      <t xml:space="preserve">/principles/ </t>
    </r>
    <r>
      <rPr>
        <sz val="11"/>
        <rFont val="Noto Sans CJK SC"/>
        <family val="2"/>
      </rPr>
      <t xml:space="preserve">页面的几条原则，简单写一句是否符合（比如有没有追空、仓位是不是跟置信度匹配）。</t>
    </r>
  </si>
  <si>
    <r>
      <rPr>
        <b val="true"/>
        <sz val="11"/>
        <rFont val="Noto Sans CJK SC"/>
        <family val="2"/>
      </rPr>
      <t xml:space="preserve">● 是否留痕候选 </t>
    </r>
    <r>
      <rPr>
        <b val="true"/>
        <sz val="11"/>
        <rFont val="Microsoft YaHei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留痕理由</t>
    </r>
  </si>
  <si>
    <r>
      <rPr>
        <sz val="11"/>
        <rFont val="Noto Sans CJK SC"/>
        <family val="2"/>
      </rPr>
      <t xml:space="preserve">自己判断：今天这个组合以后是否值得当案例参考，是就写「是」</t>
    </r>
    <r>
      <rPr>
        <sz val="11"/>
        <rFont val="Microsoft YaHei"/>
        <family val="0"/>
        <charset val="1"/>
      </rPr>
      <t xml:space="preserve">+</t>
    </r>
    <r>
      <rPr>
        <sz val="11"/>
        <rFont val="Noto Sans CJK SC"/>
        <family val="2"/>
      </rPr>
      <t xml:space="preserve">一句理由，大多数普通交易日这里应该是「否」。</t>
    </r>
  </si>
  <si>
    <t xml:space="preserve">● 备注</t>
  </si>
  <si>
    <t xml:space="preserve">任何以上列装不下的内容。</t>
  </si>
  <si>
    <t xml:space="preserve">多久做一次，怎么升级成正式案例：</t>
  </si>
  <si>
    <r>
      <rPr>
        <sz val="11"/>
        <rFont val="Noto Sans CJK SC"/>
        <family val="2"/>
      </rPr>
      <t xml:space="preserve">「每日复盘」这张表每天填，只花几分钟，不需要当天就分析出「真实驱动」是什么——这个字段本来就要等后续走势明朗才看得清，当天硬写就是瞎猜。等积累了一段时间（建议每月或每季度）</t>
    </r>
    <r>
      <rPr>
        <sz val="11"/>
        <rFont val="Microsoft YaHei"/>
        <family val="0"/>
        <charset val="1"/>
      </rPr>
      <t xml:space="preserve">,</t>
    </r>
    <r>
      <rPr>
        <sz val="11"/>
        <rFont val="Noto Sans CJK SC"/>
        <family val="2"/>
      </rPr>
      <t xml:space="preserve">翻一遍「是否留痕候选」</t>
    </r>
    <r>
      <rPr>
        <sz val="11"/>
        <rFont val="Microsoft YaHei"/>
        <family val="0"/>
        <charset val="1"/>
      </rPr>
      <t xml:space="preserve">=</t>
    </r>
    <r>
      <rPr>
        <sz val="11"/>
        <rFont val="Noto Sans CJK SC"/>
        <family val="2"/>
      </rPr>
      <t xml:space="preserve">是的行，看看哪些当时觉得少见的组合后来确实走出了有代表性的行情，把这几条按 </t>
    </r>
    <r>
      <rPr>
        <sz val="11"/>
        <rFont val="Microsoft YaHei"/>
        <family val="0"/>
        <charset val="1"/>
      </rPr>
      <t xml:space="preserve">docs/admin_guide.md </t>
    </r>
    <r>
      <rPr>
        <sz val="11"/>
        <rFont val="Noto Sans CJK SC"/>
        <family val="2"/>
      </rPr>
      <t xml:space="preserve">里「案例录入顺序」正式录入到 </t>
    </r>
    <r>
      <rPr>
        <sz val="11"/>
        <rFont val="Microsoft YaHei"/>
        <family val="0"/>
        <charset val="1"/>
      </rPr>
      <t xml:space="preserve">/admin </t>
    </r>
    <r>
      <rPr>
        <sz val="11"/>
        <rFont val="Noto Sans CJK SC"/>
        <family val="2"/>
      </rPr>
      <t xml:space="preserve">的 </t>
    </r>
    <r>
      <rPr>
        <sz val="11"/>
        <rFont val="Microsoft YaHei"/>
        <family val="0"/>
        <charset val="1"/>
      </rPr>
      <t xml:space="preserve">Case </t>
    </r>
    <r>
      <rPr>
        <sz val="11"/>
        <rFont val="Noto Sans CJK SC"/>
        <family val="2"/>
      </rPr>
      <t xml:space="preserve">表（连带 </t>
    </r>
    <r>
      <rPr>
        <sz val="11"/>
        <rFont val="Microsoft YaHei"/>
        <family val="0"/>
        <charset val="1"/>
      </rPr>
      <t xml:space="preserve">CaseTimeline </t>
    </r>
    <r>
      <rPr>
        <sz val="11"/>
        <rFont val="Noto Sans CJK SC"/>
        <family val="2"/>
      </rPr>
      <t xml:space="preserve">关键节点），这样案例库才是真正从复盘习惯里长出来的，而不是某天坐下来翻几年历史硬凑。</t>
    </r>
  </si>
  <si>
    <r>
      <rPr>
        <i val="true"/>
        <sz val="10"/>
        <color rgb="FF808080"/>
        <rFont val="Noto Sans CJK SC"/>
        <family val="2"/>
      </rPr>
      <t xml:space="preserve">「月度统计」</t>
    </r>
    <r>
      <rPr>
        <i val="true"/>
        <sz val="10"/>
        <color rgb="FF808080"/>
        <rFont val="Microsoft YaHei"/>
        <family val="0"/>
        <charset val="1"/>
      </rPr>
      <t xml:space="preserve">sheet </t>
    </r>
    <r>
      <rPr>
        <i val="true"/>
        <sz val="10"/>
        <color rgb="FF808080"/>
        <rFont val="Noto Sans CJK SC"/>
        <family val="2"/>
      </rPr>
      <t xml:space="preserve">是自动统计（用公式，不需要手填），按月汇总</t>
    </r>
    <r>
      <rPr>
        <i val="true"/>
        <sz val="10"/>
        <color rgb="FF808080"/>
        <rFont val="Microsoft YaHei"/>
        <family val="0"/>
        <charset val="1"/>
      </rPr>
      <t xml:space="preserve">composite</t>
    </r>
    <r>
      <rPr>
        <i val="true"/>
        <sz val="10"/>
        <color rgb="FF808080"/>
        <rFont val="Noto Sans CJK SC"/>
        <family val="2"/>
      </rPr>
      <t xml:space="preserve">结论的分布和留痕候选的次数，方便你自己评估这段时间系统给出的判断是偏多还是偏空、留痕的案例攒了多少条——这也是前面聊到的「系统到底准不准」的一种最简单的自查方式：多攒几个月的记录，回头对照实际走势，就能看出</t>
    </r>
    <r>
      <rPr>
        <i val="true"/>
        <sz val="10"/>
        <color rgb="FF808080"/>
        <rFont val="Microsoft YaHei"/>
        <family val="0"/>
        <charset val="1"/>
      </rPr>
      <t xml:space="preserve">composite</t>
    </r>
    <r>
      <rPr>
        <i val="true"/>
        <sz val="10"/>
        <color rgb="FF808080"/>
        <rFont val="Noto Sans CJK SC"/>
        <family val="2"/>
      </rPr>
      <t xml:space="preserve">的判断整体上站不站得住脚。</t>
    </r>
  </si>
  <si>
    <t xml:space="preserve">日期</t>
  </si>
  <si>
    <t xml:space="preserve">品种代码</t>
  </si>
  <si>
    <t xml:space="preserve">收盘价</t>
  </si>
  <si>
    <r>
      <rPr>
        <b val="true"/>
        <sz val="10"/>
        <color rgb="FF1F4E78"/>
        <rFont val="Noto Sans CJK SC"/>
        <family val="2"/>
      </rPr>
      <t xml:space="preserve">涨跌幅</t>
    </r>
    <r>
      <rPr>
        <b val="true"/>
        <sz val="10"/>
        <color rgb="FF1F4E78"/>
        <rFont val="Microsoft YaHei"/>
        <family val="0"/>
        <charset val="1"/>
      </rPr>
      <t xml:space="preserve">(%)</t>
    </r>
  </si>
  <si>
    <t xml:space="preserve">价格分位数</t>
  </si>
  <si>
    <t xml:space="preserve">价格所处区间</t>
  </si>
  <si>
    <t xml:space="preserve">价格是否极端</t>
  </si>
  <si>
    <t xml:space="preserve">价格极端持续天数</t>
  </si>
  <si>
    <t xml:space="preserve">利润分位数</t>
  </si>
  <si>
    <t xml:space="preserve">利润所处区间</t>
  </si>
  <si>
    <t xml:space="preserve">利润是否极端</t>
  </si>
  <si>
    <t xml:space="preserve">利润极端持续天数</t>
  </si>
  <si>
    <t xml:space="preserve">筹码信号是否触发</t>
  </si>
  <si>
    <t xml:space="preserve">筹码信号方向</t>
  </si>
  <si>
    <t xml:space="preserve">基差值</t>
  </si>
  <si>
    <t xml:space="preserve">基差状态</t>
  </si>
  <si>
    <t xml:space="preserve">持仓量</t>
  </si>
  <si>
    <t xml:space="preserve">仓单量</t>
  </si>
  <si>
    <t xml:space="preserve">现状体检异常项</t>
  </si>
  <si>
    <r>
      <rPr>
        <b val="true"/>
        <sz val="10"/>
        <color rgb="FF1F4E78"/>
        <rFont val="Noto Sans CJK SC"/>
        <family val="2"/>
      </rPr>
      <t xml:space="preserve">系统</t>
    </r>
    <r>
      <rPr>
        <b val="true"/>
        <sz val="10"/>
        <color rgb="FF1F4E78"/>
        <rFont val="Microsoft YaHei"/>
        <family val="0"/>
        <charset val="1"/>
      </rPr>
      <t xml:space="preserve">composite</t>
    </r>
    <r>
      <rPr>
        <b val="true"/>
        <sz val="10"/>
        <color rgb="FF1F4E78"/>
        <rFont val="Noto Sans CJK SC"/>
        <family val="2"/>
      </rPr>
      <t xml:space="preserve">结论</t>
    </r>
  </si>
  <si>
    <r>
      <rPr>
        <b val="true"/>
        <sz val="10"/>
        <color rgb="FF1F4E78"/>
        <rFont val="Microsoft YaHei"/>
        <family val="0"/>
        <charset val="1"/>
      </rPr>
      <t xml:space="preserve">composite</t>
    </r>
    <r>
      <rPr>
        <b val="true"/>
        <sz val="10"/>
        <color rgb="FF1F4E78"/>
        <rFont val="Noto Sans CJK SC"/>
        <family val="2"/>
      </rPr>
      <t xml:space="preserve">置信度</t>
    </r>
  </si>
  <si>
    <t xml:space="preserve">是否匹配历史案例</t>
  </si>
  <si>
    <t xml:space="preserve">匹配案例风险回报参考</t>
  </si>
  <si>
    <r>
      <rPr>
        <b val="true"/>
        <sz val="10"/>
        <color rgb="FF1F4E78"/>
        <rFont val="Noto Sans CJK SC"/>
        <family val="2"/>
      </rPr>
      <t xml:space="preserve">今日新增事件</t>
    </r>
    <r>
      <rPr>
        <b val="true"/>
        <sz val="10"/>
        <color rgb="FF1F4E78"/>
        <rFont val="Microsoft YaHei"/>
        <family val="0"/>
        <charset val="1"/>
      </rPr>
      <t xml:space="preserve">/</t>
    </r>
    <r>
      <rPr>
        <b val="true"/>
        <sz val="10"/>
        <color rgb="FF1F4E78"/>
        <rFont val="Noto Sans CJK SC"/>
        <family val="2"/>
      </rPr>
      <t xml:space="preserve">政策</t>
    </r>
  </si>
  <si>
    <t xml:space="preserve">市场当天主流解读</t>
  </si>
  <si>
    <t xml:space="preserve">系统未覆盖的异常信息</t>
  </si>
  <si>
    <t xml:space="preserve">今日交易操作</t>
  </si>
  <si>
    <t xml:space="preserve">是否符合交易原则</t>
  </si>
  <si>
    <t xml:space="preserve">是否留痕候选</t>
  </si>
  <si>
    <r>
      <rPr>
        <b val="true"/>
        <sz val="10"/>
        <color rgb="FF1F4E78"/>
        <rFont val="Noto Sans CJK SC"/>
        <family val="2"/>
      </rPr>
      <t xml:space="preserve">留痕理由</t>
    </r>
    <r>
      <rPr>
        <b val="true"/>
        <sz val="10"/>
        <color rgb="FF1F4E78"/>
        <rFont val="Microsoft YaHei"/>
        <family val="0"/>
        <charset val="1"/>
      </rPr>
      <t xml:space="preserve">/</t>
    </r>
    <r>
      <rPr>
        <b val="true"/>
        <sz val="10"/>
        <color rgb="FF1F4E78"/>
        <rFont val="Noto Sans CJK SC"/>
        <family val="2"/>
      </rPr>
      <t xml:space="preserve">关键要素</t>
    </r>
  </si>
  <si>
    <t xml:space="preserve">备注</t>
  </si>
  <si>
    <r>
      <rPr>
        <i val="true"/>
        <sz val="10"/>
        <color rgb="FF595959"/>
        <rFont val="Microsoft YaHei"/>
        <family val="0"/>
        <charset val="1"/>
      </rPr>
      <t xml:space="preserve">SA(</t>
    </r>
    <r>
      <rPr>
        <i val="true"/>
        <sz val="10"/>
        <color rgb="FF595959"/>
        <rFont val="Noto Sans CJK SC"/>
        <family val="2"/>
      </rPr>
      <t xml:space="preserve">示例行，请勿删除表头，往下另起新行填写</t>
    </r>
    <r>
      <rPr>
        <i val="true"/>
        <sz val="10"/>
        <color rgb="FF595959"/>
        <rFont val="Microsoft YaHei"/>
        <family val="0"/>
        <charset val="1"/>
      </rPr>
      <t xml:space="preserve">)</t>
    </r>
  </si>
  <si>
    <t xml:space="preserve">低位</t>
  </si>
  <si>
    <t xml:space="preserve">是</t>
  </si>
  <si>
    <t xml:space="preserve">利润极高</t>
  </si>
  <si>
    <t xml:space="preserve">否</t>
  </si>
  <si>
    <t xml:space="preserve">无</t>
  </si>
  <si>
    <t xml:space="preserve">升水</t>
  </si>
  <si>
    <t xml:space="preserve">多空信号不一致</t>
  </si>
  <si>
    <t xml:space="preserve">低</t>
  </si>
  <si>
    <t xml:space="preserve">市场情绪偏空，担心地产走弱压制纯碱需求，同时听说下游玻璃厂检修增多</t>
  </si>
  <si>
    <t xml:space="preserve">未交易，观望</t>
  </si>
  <si>
    <t xml:space="preserve">符合——信号不一致时按原则降低仓位</t>
  </si>
  <si>
    <r>
      <rPr>
        <i val="true"/>
        <sz val="10"/>
        <color rgb="FF595959"/>
        <rFont val="Noto Sans CJK SC"/>
        <family val="2"/>
      </rPr>
      <t xml:space="preserve">示例行：价格历史低位但利润历史高位同时出现，两条独立通道方向打架，所以系统判定「多空信号不一致</t>
    </r>
    <r>
      <rPr>
        <i val="true"/>
        <sz val="10"/>
        <color rgb="FF595959"/>
        <rFont val="Microsoft YaHei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低置信度」，实际操作选择观望。</t>
    </r>
  </si>
  <si>
    <t xml:space="preserve">月份</t>
  </si>
  <si>
    <t xml:space="preserve">记录天数</t>
  </si>
  <si>
    <t xml:space="preserve">多头因素占优</t>
  </si>
  <si>
    <t xml:space="preserve">空头因素占优</t>
  </si>
  <si>
    <t xml:space="preserve">无明显方向</t>
  </si>
  <si>
    <t xml:space="preserve">留痕候选次数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</si>
  <si>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</si>
  <si>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</si>
  <si>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</si>
  <si>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</si>
  <si>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</si>
  <si>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</si>
  <si>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</si>
  <si>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</si>
  <si>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</si>
  <si>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</si>
  <si>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</si>
  <si>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</si>
  <si>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r>
      <rPr>
        <i val="true"/>
        <sz val="10"/>
        <color rgb="FF808080"/>
        <rFont val="Noto Sans CJK SC"/>
        <family val="2"/>
      </rPr>
      <t xml:space="preserve">说明：这张表全部是公式，跟着「每日复盘」</t>
    </r>
    <r>
      <rPr>
        <i val="true"/>
        <sz val="10"/>
        <color rgb="FF808080"/>
        <rFont val="Microsoft YaHei"/>
        <family val="0"/>
        <charset val="1"/>
      </rPr>
      <t xml:space="preserve">sheet</t>
    </r>
    <r>
      <rPr>
        <i val="true"/>
        <sz val="10"/>
        <color rgb="FF808080"/>
        <rFont val="Noto Sans CJK SC"/>
        <family val="2"/>
      </rPr>
      <t xml:space="preserve">自动更新，不需要手填。如果「每日复盘」以后加了更多行，需要把上面几个</t>
    </r>
    <r>
      <rPr>
        <i val="true"/>
        <sz val="10"/>
        <color rgb="FF808080"/>
        <rFont val="Microsoft YaHei"/>
        <family val="0"/>
        <charset val="1"/>
      </rPr>
      <t xml:space="preserve">SUMPRODUCT</t>
    </r>
    <r>
      <rPr>
        <i val="true"/>
        <sz val="10"/>
        <color rgb="FF808080"/>
        <rFont val="Noto Sans CJK SC"/>
        <family val="2"/>
      </rPr>
      <t xml:space="preserve">公式里的</t>
    </r>
    <r>
      <rPr>
        <i val="true"/>
        <sz val="10"/>
        <color rgb="FF808080"/>
        <rFont val="Microsoft YaHei"/>
        <family val="0"/>
        <charset val="1"/>
      </rPr>
      <t xml:space="preserve">$A$3:$A$302</t>
    </r>
    <r>
      <rPr>
        <i val="true"/>
        <sz val="10"/>
        <color rgb="FF808080"/>
        <rFont val="Noto Sans CJK SC"/>
        <family val="2"/>
      </rPr>
      <t xml:space="preserve">等区域范围同步扩大。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</si>
</sst>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sz val="11"/>
      <name val="Noto Sans CJK SC"/>
      <family val="2"/>
    </font>
    <font>
      <sz val="11"/>
      <name val="Microsoft YaHei"/>
      <family val="0"/>
      <charset val="1"/>
    </font>
    <font>
      <b val="true"/>
      <sz val="12"/>
      <color rgb="FF1F4E78"/>
      <name val="Noto Sans CJK SC"/>
      <family val="2"/>
    </font>
    <font>
      <b val="true"/>
      <sz val="12"/>
      <color rgb="FF1F4E78"/>
      <name val="Microsoft YaHei"/>
      <family val="0"/>
      <charset val="1"/>
    </font>
    <font>
      <b val="true"/>
      <sz val="11"/>
      <name val="Noto Sans CJK SC"/>
      <family val="2"/>
    </font>
    <font>
      <b val="true"/>
      <sz val="11"/>
      <name val="Microsoft YaHei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Microsoft YaHei"/>
      <family val="0"/>
      <charset val="1"/>
    </font>
    <font>
      <b val="true"/>
      <sz val="10"/>
      <color rgb="FF1F4E78"/>
      <name val="Noto Sans CJK SC"/>
      <family val="2"/>
    </font>
    <font>
      <b val="true"/>
      <sz val="10"/>
      <color rgb="FF1F4E78"/>
      <name val="Microsoft YaHei"/>
      <family val="0"/>
      <charset val="1"/>
    </font>
    <font>
      <i val="true"/>
      <sz val="10"/>
      <color rgb="FF595959"/>
      <name val="Microsoft YaHei"/>
      <family val="0"/>
      <charset val="1"/>
    </font>
    <font>
      <i val="true"/>
      <sz val="10"/>
      <color rgb="FF595959"/>
      <name val="Noto Sans CJK SC"/>
      <family val="2"/>
    </font>
    <font>
      <sz val="10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1.6" hidden="false" customHeight="false" outlineLevel="0" collapsed="false">
      <c r="B2" s="1" t="s">
        <v>0</v>
      </c>
    </row>
    <row r="4" customFormat="false" ht="48" hidden="false" customHeight="true" outlineLevel="0" collapsed="false">
      <c r="B4" s="2" t="s">
        <v>1</v>
      </c>
    </row>
    <row r="6" customFormat="false" ht="19.4" hidden="false" customHeight="false" outlineLevel="0" collapsed="false">
      <c r="B6" s="3" t="s">
        <v>2</v>
      </c>
    </row>
    <row r="7" customFormat="false" ht="31.5" hidden="false" customHeight="true" outlineLevel="0" collapsed="false">
      <c r="B7" s="4" t="s">
        <v>3</v>
      </c>
    </row>
    <row r="8" customFormat="false" ht="31.5" hidden="false" customHeight="true" outlineLevel="0" collapsed="false">
      <c r="B8" s="5" t="s">
        <v>4</v>
      </c>
    </row>
    <row r="10" customFormat="false" ht="19.4" hidden="false" customHeight="false" outlineLevel="0" collapsed="false">
      <c r="B10" s="3" t="s">
        <v>5</v>
      </c>
    </row>
    <row r="11" customFormat="false" ht="17.15" hidden="false" customHeight="false" outlineLevel="0" collapsed="false">
      <c r="B11" s="6" t="s">
        <v>6</v>
      </c>
    </row>
    <row r="12" customFormat="false" ht="30" hidden="false" customHeight="true" outlineLevel="0" collapsed="false">
      <c r="B12" s="2" t="s">
        <v>7</v>
      </c>
    </row>
    <row r="13" customFormat="false" ht="17.15" hidden="false" customHeight="false" outlineLevel="0" collapsed="false">
      <c r="B13" s="6" t="s">
        <v>8</v>
      </c>
    </row>
    <row r="14" customFormat="false" ht="30" hidden="false" customHeight="true" outlineLevel="0" collapsed="false">
      <c r="B14" s="2" t="s">
        <v>9</v>
      </c>
    </row>
    <row r="15" customFormat="false" ht="17.15" hidden="false" customHeight="false" outlineLevel="0" collapsed="false">
      <c r="B15" s="6" t="s">
        <v>10</v>
      </c>
    </row>
    <row r="16" customFormat="false" ht="30" hidden="false" customHeight="true" outlineLevel="0" collapsed="false">
      <c r="B16" s="2" t="s">
        <v>11</v>
      </c>
    </row>
    <row r="17" customFormat="false" ht="17.15" hidden="false" customHeight="false" outlineLevel="0" collapsed="false">
      <c r="B17" s="6" t="s">
        <v>12</v>
      </c>
    </row>
    <row r="18" customFormat="false" ht="30" hidden="false" customHeight="true" outlineLevel="0" collapsed="false">
      <c r="B18" s="2" t="s">
        <v>13</v>
      </c>
    </row>
    <row r="19" customFormat="false" ht="17.15" hidden="false" customHeight="false" outlineLevel="0" collapsed="false">
      <c r="B19" s="6" t="s">
        <v>14</v>
      </c>
    </row>
    <row r="20" customFormat="false" ht="30" hidden="false" customHeight="true" outlineLevel="0" collapsed="false">
      <c r="B20" s="2" t="s">
        <v>15</v>
      </c>
    </row>
    <row r="21" customFormat="false" ht="17.15" hidden="false" customHeight="false" outlineLevel="0" collapsed="false">
      <c r="B21" s="6" t="s">
        <v>16</v>
      </c>
    </row>
    <row r="22" customFormat="false" ht="30" hidden="false" customHeight="true" outlineLevel="0" collapsed="false">
      <c r="B22" s="2" t="s">
        <v>17</v>
      </c>
    </row>
    <row r="23" customFormat="false" ht="17.15" hidden="false" customHeight="false" outlineLevel="0" collapsed="false">
      <c r="B23" s="6" t="s">
        <v>18</v>
      </c>
    </row>
    <row r="24" customFormat="false" ht="30" hidden="false" customHeight="true" outlineLevel="0" collapsed="false">
      <c r="B24" s="7" t="s">
        <v>19</v>
      </c>
    </row>
    <row r="25" customFormat="false" ht="17.15" hidden="false" customHeight="false" outlineLevel="0" collapsed="false">
      <c r="B25" s="6" t="s">
        <v>20</v>
      </c>
    </row>
    <row r="26" customFormat="false" ht="30" hidden="false" customHeight="true" outlineLevel="0" collapsed="false">
      <c r="B26" s="2" t="s">
        <v>21</v>
      </c>
    </row>
    <row r="27" customFormat="false" ht="17.15" hidden="false" customHeight="false" outlineLevel="0" collapsed="false">
      <c r="B27" s="6" t="s">
        <v>22</v>
      </c>
    </row>
    <row r="28" customFormat="false" ht="30" hidden="false" customHeight="true" outlineLevel="0" collapsed="false">
      <c r="B28" s="2" t="s">
        <v>23</v>
      </c>
    </row>
    <row r="29" customFormat="false" ht="17.15" hidden="false" customHeight="false" outlineLevel="0" collapsed="false">
      <c r="B29" s="6" t="s">
        <v>24</v>
      </c>
    </row>
    <row r="30" customFormat="false" ht="30" hidden="false" customHeight="true" outlineLevel="0" collapsed="false">
      <c r="B30" s="2" t="s">
        <v>25</v>
      </c>
    </row>
    <row r="31" customFormat="false" ht="17.15" hidden="false" customHeight="false" outlineLevel="0" collapsed="false">
      <c r="B31" s="6" t="s">
        <v>26</v>
      </c>
    </row>
    <row r="32" customFormat="false" ht="30" hidden="false" customHeight="true" outlineLevel="0" collapsed="false">
      <c r="B32" s="7" t="s">
        <v>27</v>
      </c>
    </row>
    <row r="33" customFormat="false" ht="17.15" hidden="false" customHeight="false" outlineLevel="0" collapsed="false">
      <c r="B33" s="6" t="s">
        <v>28</v>
      </c>
    </row>
    <row r="34" customFormat="false" ht="30" hidden="false" customHeight="true" outlineLevel="0" collapsed="false">
      <c r="B34" s="2" t="s">
        <v>29</v>
      </c>
    </row>
    <row r="35" customFormat="false" ht="17.15" hidden="false" customHeight="false" outlineLevel="0" collapsed="false">
      <c r="B35" s="6" t="s">
        <v>30</v>
      </c>
    </row>
    <row r="36" customFormat="false" ht="30" hidden="false" customHeight="true" outlineLevel="0" collapsed="false">
      <c r="B36" s="2" t="s">
        <v>31</v>
      </c>
    </row>
    <row r="37" customFormat="false" ht="17.15" hidden="false" customHeight="false" outlineLevel="0" collapsed="false">
      <c r="B37" s="6" t="s">
        <v>32</v>
      </c>
    </row>
    <row r="38" customFormat="false" ht="30" hidden="false" customHeight="true" outlineLevel="0" collapsed="false">
      <c r="B38" s="2" t="s">
        <v>33</v>
      </c>
    </row>
    <row r="39" customFormat="false" ht="17.15" hidden="false" customHeight="false" outlineLevel="0" collapsed="false">
      <c r="B39" s="6" t="s">
        <v>34</v>
      </c>
    </row>
    <row r="40" customFormat="false" ht="30" hidden="false" customHeight="true" outlineLevel="0" collapsed="false">
      <c r="B40" s="2" t="s">
        <v>35</v>
      </c>
    </row>
    <row r="41" customFormat="false" ht="17.15" hidden="false" customHeight="false" outlineLevel="0" collapsed="false">
      <c r="B41" s="6" t="s">
        <v>36</v>
      </c>
    </row>
    <row r="42" customFormat="false" ht="30" hidden="false" customHeight="true" outlineLevel="0" collapsed="false">
      <c r="B42" s="2" t="s">
        <v>37</v>
      </c>
    </row>
    <row r="44" customFormat="false" ht="19.4" hidden="false" customHeight="false" outlineLevel="0" collapsed="false">
      <c r="B44" s="3" t="s">
        <v>38</v>
      </c>
    </row>
    <row r="45" customFormat="false" ht="63.75" hidden="false" customHeight="true" outlineLevel="0" collapsed="false">
      <c r="B45" s="2" t="s">
        <v>39</v>
      </c>
    </row>
    <row r="47" customFormat="false" ht="48" hidden="false" customHeight="true" outlineLevel="0" collapsed="false">
      <c r="B47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6" min="15" style="0" width="9"/>
    <col collapsed="false" customWidth="true" hidden="false" outlineLevel="0" max="18" min="17" style="0" width="10"/>
    <col collapsed="false" customWidth="true" hidden="false" outlineLevel="0" max="20" min="19" style="0" width="16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22"/>
    <col collapsed="false" customWidth="true" hidden="false" outlineLevel="0" max="24" min="24" style="0" width="20"/>
    <col collapsed="false" customWidth="true" hidden="false" outlineLevel="0" max="25" min="25" style="0" width="28"/>
    <col collapsed="false" customWidth="true" hidden="false" outlineLevel="0" max="26" min="26" style="0" width="24"/>
    <col collapsed="false" customWidth="true" hidden="false" outlineLevel="0" max="28" min="27" style="0" width="18"/>
    <col collapsed="false" customWidth="true" hidden="false" outlineLevel="0" max="29" min="29" style="0" width="10"/>
    <col collapsed="false" customWidth="true" hidden="false" outlineLevel="0" max="30" min="30" style="0" width="24"/>
    <col collapsed="false" customWidth="true" hidden="false" outlineLevel="0" max="31" min="31" style="0" width="20"/>
  </cols>
  <sheetData>
    <row r="1" customFormat="false" ht="30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10" t="s">
        <v>61</v>
      </c>
      <c r="V1" s="9" t="s">
        <v>62</v>
      </c>
      <c r="W1" s="9" t="s">
        <v>63</v>
      </c>
      <c r="X1" s="11" t="s">
        <v>64</v>
      </c>
      <c r="Y1" s="11" t="s">
        <v>65</v>
      </c>
      <c r="Z1" s="11" t="s">
        <v>66</v>
      </c>
      <c r="AA1" s="11" t="s">
        <v>67</v>
      </c>
      <c r="AB1" s="11" t="s">
        <v>68</v>
      </c>
      <c r="AC1" s="11" t="s">
        <v>69</v>
      </c>
      <c r="AD1" s="11" t="s">
        <v>70</v>
      </c>
      <c r="AE1" s="11" t="s">
        <v>71</v>
      </c>
    </row>
    <row r="2" customFormat="false" ht="60" hidden="false" customHeight="true" outlineLevel="0" collapsed="false">
      <c r="A2" s="12" t="n">
        <v>46244</v>
      </c>
      <c r="B2" s="13" t="s">
        <v>72</v>
      </c>
      <c r="C2" s="13" t="n">
        <v>1446</v>
      </c>
      <c r="D2" s="13" t="n">
        <v>-1.7</v>
      </c>
      <c r="E2" s="13" t="n">
        <v>2</v>
      </c>
      <c r="F2" s="14" t="s">
        <v>73</v>
      </c>
      <c r="G2" s="14" t="s">
        <v>74</v>
      </c>
      <c r="H2" s="13" t="n">
        <v>56</v>
      </c>
      <c r="I2" s="13" t="n">
        <v>92</v>
      </c>
      <c r="J2" s="14" t="s">
        <v>75</v>
      </c>
      <c r="K2" s="14" t="s">
        <v>74</v>
      </c>
      <c r="L2" s="13" t="n">
        <v>30</v>
      </c>
      <c r="M2" s="14" t="s">
        <v>76</v>
      </c>
      <c r="N2" s="14" t="s">
        <v>77</v>
      </c>
      <c r="O2" s="13" t="n">
        <v>-6.6</v>
      </c>
      <c r="P2" s="14" t="s">
        <v>78</v>
      </c>
      <c r="Q2" s="13" t="n">
        <v>378176</v>
      </c>
      <c r="R2" s="13" t="n">
        <v>11597</v>
      </c>
      <c r="S2" s="14" t="s">
        <v>77</v>
      </c>
      <c r="T2" s="14" t="s">
        <v>79</v>
      </c>
      <c r="U2" s="14" t="s">
        <v>80</v>
      </c>
      <c r="V2" s="14" t="s">
        <v>76</v>
      </c>
      <c r="W2" s="13"/>
      <c r="X2" s="14" t="s">
        <v>77</v>
      </c>
      <c r="Y2" s="14" t="s">
        <v>81</v>
      </c>
      <c r="Z2" s="14" t="s">
        <v>77</v>
      </c>
      <c r="AA2" s="14" t="s">
        <v>82</v>
      </c>
      <c r="AB2" s="14" t="s">
        <v>83</v>
      </c>
      <c r="AC2" s="14" t="s">
        <v>76</v>
      </c>
      <c r="AD2" s="13"/>
      <c r="AE2" s="14" t="s">
        <v>84</v>
      </c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customFormat="false" ht="1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customFormat="false" ht="15" hidden="false" customHeight="fals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</sheetData>
  <autoFilter ref="A1:AE3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</cols>
  <sheetData>
    <row r="1" customFormat="false" ht="25.5" hidden="false" customHeight="true" outlineLevel="0" collapsed="false">
      <c r="A1" s="9" t="s">
        <v>85</v>
      </c>
      <c r="B1" s="9" t="s">
        <v>86</v>
      </c>
      <c r="C1" s="9" t="s">
        <v>87</v>
      </c>
      <c r="D1" s="9" t="s">
        <v>88</v>
      </c>
      <c r="E1" s="9" t="s">
        <v>79</v>
      </c>
      <c r="F1" s="9" t="s">
        <v>89</v>
      </c>
      <c r="G1" s="9" t="s">
        <v>90</v>
      </c>
    </row>
    <row r="2" customFormat="false" ht="15" hidden="false" customHeight="false" outlineLevel="0" collapsed="false">
      <c r="A2" s="16" t="s">
        <v>91</v>
      </c>
      <c r="B2" s="17" t="n">
        <f aca="false">SUMPRODUCT((TEXT(每日复盘!$A$3:$A$302,"yyyy-mm")=A2)*(每日复盘!$A$3:$A$302&lt;&gt;""))</f>
        <v>0</v>
      </c>
      <c r="C2" s="17" t="n">
        <f aca="false">SUMPRODUCT((TEXT(每日复盘!$A$3:$A$302,"yyyy-mm")=A2)*(每日复盘!$T$3:$T$302="多头因素占优"))</f>
        <v>0</v>
      </c>
      <c r="D2" s="17" t="n">
        <f aca="false">SUMPRODUCT((TEXT(每日复盘!$A$3:$A$302,"yyyy-mm")=A2)*(每日复盘!$T$3:$T$302="空头因素占优"))</f>
        <v>0</v>
      </c>
      <c r="E2" s="17" t="n">
        <f aca="false">SUMPRODUCT((TEXT(每日复盘!$A$3:$A$302,"yyyy-mm")=A2)*(每日复盘!$T$3:$T$302="多空信号不一致"))</f>
        <v>0</v>
      </c>
      <c r="F2" s="17" t="n">
        <f aca="false">SUMPRODUCT((TEXT(每日复盘!$A$3:$A$302,"yyyy-mm")=A2)*(每日复盘!$T$3:$T$302="无明显方向"))</f>
        <v>0</v>
      </c>
      <c r="G2" s="17" t="n">
        <f aca="false">SUMPRODUCT((TEXT(每日复盘!$A$3:$A$302,"yyyy-mm")=A2)*(每日复盘!$AC$3:$AC$302="是"))</f>
        <v>0</v>
      </c>
    </row>
    <row r="3" customFormat="false" ht="15" hidden="false" customHeight="false" outlineLevel="0" collapsed="false">
      <c r="A3" s="16" t="s">
        <v>92</v>
      </c>
      <c r="B3" s="17" t="n">
        <f aca="false">SUMPRODUCT((TEXT(每日复盘!$A$3:$A$302,"yyyy-mm")=A3)*(每日复盘!$A$3:$A$302&lt;&gt;""))</f>
        <v>0</v>
      </c>
      <c r="C3" s="17" t="n">
        <f aca="false">SUMPRODUCT((TEXT(每日复盘!$A$3:$A$302,"yyyy-mm")=A3)*(每日复盘!$T$3:$T$302="多头因素占优"))</f>
        <v>0</v>
      </c>
      <c r="D3" s="17" t="n">
        <f aca="false">SUMPRODUCT((TEXT(每日复盘!$A$3:$A$302,"yyyy-mm")=A3)*(每日复盘!$T$3:$T$302="空头因素占优"))</f>
        <v>0</v>
      </c>
      <c r="E3" s="17" t="n">
        <f aca="false">SUMPRODUCT((TEXT(每日复盘!$A$3:$A$302,"yyyy-mm")=A3)*(每日复盘!$T$3:$T$302="多空信号不一致"))</f>
        <v>0</v>
      </c>
      <c r="F3" s="17" t="n">
        <f aca="false">SUMPRODUCT((TEXT(每日复盘!$A$3:$A$302,"yyyy-mm")=A3)*(每日复盘!$T$3:$T$302="无明显方向"))</f>
        <v>0</v>
      </c>
      <c r="G3" s="17" t="n">
        <f aca="false">SUMPRODUCT((TEXT(每日复盘!$A$3:$A$302,"yyyy-mm")=A3)*(每日复盘!$AC$3:$AC$302="是"))</f>
        <v>0</v>
      </c>
    </row>
    <row r="4" customFormat="false" ht="15" hidden="false" customHeight="false" outlineLevel="0" collapsed="false">
      <c r="A4" s="16" t="s">
        <v>93</v>
      </c>
      <c r="B4" s="17" t="n">
        <f aca="false">SUMPRODUCT((TEXT(每日复盘!$A$3:$A$302,"yyyy-mm")=A4)*(每日复盘!$A$3:$A$302&lt;&gt;""))</f>
        <v>0</v>
      </c>
      <c r="C4" s="17" t="n">
        <f aca="false">SUMPRODUCT((TEXT(每日复盘!$A$3:$A$302,"yyyy-mm")=A4)*(每日复盘!$T$3:$T$302="多头因素占优"))</f>
        <v>0</v>
      </c>
      <c r="D4" s="17" t="n">
        <f aca="false">SUMPRODUCT((TEXT(每日复盘!$A$3:$A$302,"yyyy-mm")=A4)*(每日复盘!$T$3:$T$302="空头因素占优"))</f>
        <v>0</v>
      </c>
      <c r="E4" s="17" t="n">
        <f aca="false">SUMPRODUCT((TEXT(每日复盘!$A$3:$A$302,"yyyy-mm")=A4)*(每日复盘!$T$3:$T$302="多空信号不一致"))</f>
        <v>0</v>
      </c>
      <c r="F4" s="17" t="n">
        <f aca="false">SUMPRODUCT((TEXT(每日复盘!$A$3:$A$302,"yyyy-mm")=A4)*(每日复盘!$T$3:$T$302="无明显方向"))</f>
        <v>0</v>
      </c>
      <c r="G4" s="17" t="n">
        <f aca="false">SUMPRODUCT((TEXT(每日复盘!$A$3:$A$302,"yyyy-mm")=A4)*(每日复盘!$AC$3:$AC$302="是"))</f>
        <v>0</v>
      </c>
    </row>
    <row r="5" customFormat="false" ht="15" hidden="false" customHeight="false" outlineLevel="0" collapsed="false">
      <c r="A5" s="16" t="s">
        <v>94</v>
      </c>
      <c r="B5" s="17" t="n">
        <f aca="false">SUMPRODUCT((TEXT(每日复盘!$A$3:$A$302,"yyyy-mm")=A5)*(每日复盘!$A$3:$A$302&lt;&gt;""))</f>
        <v>0</v>
      </c>
      <c r="C5" s="17" t="n">
        <f aca="false">SUMPRODUCT((TEXT(每日复盘!$A$3:$A$302,"yyyy-mm")=A5)*(每日复盘!$T$3:$T$302="多头因素占优"))</f>
        <v>0</v>
      </c>
      <c r="D5" s="17" t="n">
        <f aca="false">SUMPRODUCT((TEXT(每日复盘!$A$3:$A$302,"yyyy-mm")=A5)*(每日复盘!$T$3:$T$302="空头因素占优"))</f>
        <v>0</v>
      </c>
      <c r="E5" s="17" t="n">
        <f aca="false">SUMPRODUCT((TEXT(每日复盘!$A$3:$A$302,"yyyy-mm")=A5)*(每日复盘!$T$3:$T$302="多空信号不一致"))</f>
        <v>0</v>
      </c>
      <c r="F5" s="17" t="n">
        <f aca="false">SUMPRODUCT((TEXT(每日复盘!$A$3:$A$302,"yyyy-mm")=A5)*(每日复盘!$T$3:$T$302="无明显方向"))</f>
        <v>0</v>
      </c>
      <c r="G5" s="17" t="n">
        <f aca="false">SUMPRODUCT((TEXT(每日复盘!$A$3:$A$302,"yyyy-mm")=A5)*(每日复盘!$AC$3:$AC$302="是"))</f>
        <v>0</v>
      </c>
    </row>
    <row r="6" customFormat="false" ht="15" hidden="false" customHeight="false" outlineLevel="0" collapsed="false">
      <c r="A6" s="16" t="s">
        <v>95</v>
      </c>
      <c r="B6" s="17" t="n">
        <f aca="false">SUMPRODUCT((TEXT(每日复盘!$A$3:$A$302,"yyyy-mm")=A6)*(每日复盘!$A$3:$A$302&lt;&gt;""))</f>
        <v>0</v>
      </c>
      <c r="C6" s="17" t="n">
        <f aca="false">SUMPRODUCT((TEXT(每日复盘!$A$3:$A$302,"yyyy-mm")=A6)*(每日复盘!$T$3:$T$302="多头因素占优"))</f>
        <v>0</v>
      </c>
      <c r="D6" s="17" t="n">
        <f aca="false">SUMPRODUCT((TEXT(每日复盘!$A$3:$A$302,"yyyy-mm")=A6)*(每日复盘!$T$3:$T$302="空头因素占优"))</f>
        <v>0</v>
      </c>
      <c r="E6" s="17" t="n">
        <f aca="false">SUMPRODUCT((TEXT(每日复盘!$A$3:$A$302,"yyyy-mm")=A6)*(每日复盘!$T$3:$T$302="多空信号不一致"))</f>
        <v>0</v>
      </c>
      <c r="F6" s="17" t="n">
        <f aca="false">SUMPRODUCT((TEXT(每日复盘!$A$3:$A$302,"yyyy-mm")=A6)*(每日复盘!$T$3:$T$302="无明显方向"))</f>
        <v>0</v>
      </c>
      <c r="G6" s="17" t="n">
        <f aca="false">SUMPRODUCT((TEXT(每日复盘!$A$3:$A$302,"yyyy-mm")=A6)*(每日复盘!$AC$3:$AC$302="是"))</f>
        <v>0</v>
      </c>
    </row>
    <row r="7" customFormat="false" ht="15" hidden="false" customHeight="false" outlineLevel="0" collapsed="false">
      <c r="A7" s="16" t="s">
        <v>96</v>
      </c>
      <c r="B7" s="17" t="n">
        <f aca="false">SUMPRODUCT((TEXT(每日复盘!$A$3:$A$302,"yyyy-mm")=A7)*(每日复盘!$A$3:$A$302&lt;&gt;""))</f>
        <v>0</v>
      </c>
      <c r="C7" s="17" t="n">
        <f aca="false">SUMPRODUCT((TEXT(每日复盘!$A$3:$A$302,"yyyy-mm")=A7)*(每日复盘!$T$3:$T$302="多头因素占优"))</f>
        <v>0</v>
      </c>
      <c r="D7" s="17" t="n">
        <f aca="false">SUMPRODUCT((TEXT(每日复盘!$A$3:$A$302,"yyyy-mm")=A7)*(每日复盘!$T$3:$T$302="空头因素占优"))</f>
        <v>0</v>
      </c>
      <c r="E7" s="17" t="n">
        <f aca="false">SUMPRODUCT((TEXT(每日复盘!$A$3:$A$302,"yyyy-mm")=A7)*(每日复盘!$T$3:$T$302="多空信号不一致"))</f>
        <v>0</v>
      </c>
      <c r="F7" s="17" t="n">
        <f aca="false">SUMPRODUCT((TEXT(每日复盘!$A$3:$A$302,"yyyy-mm")=A7)*(每日复盘!$T$3:$T$302="无明显方向"))</f>
        <v>0</v>
      </c>
      <c r="G7" s="17" t="n">
        <f aca="false">SUMPRODUCT((TEXT(每日复盘!$A$3:$A$302,"yyyy-mm")=A7)*(每日复盘!$AC$3:$AC$302="是"))</f>
        <v>0</v>
      </c>
    </row>
    <row r="8" customFormat="false" ht="15" hidden="false" customHeight="false" outlineLevel="0" collapsed="false">
      <c r="A8" s="16" t="s">
        <v>97</v>
      </c>
      <c r="B8" s="17" t="n">
        <f aca="false">SUMPRODUCT((TEXT(每日复盘!$A$3:$A$302,"yyyy-mm")=A8)*(每日复盘!$A$3:$A$302&lt;&gt;""))</f>
        <v>0</v>
      </c>
      <c r="C8" s="17" t="n">
        <f aca="false">SUMPRODUCT((TEXT(每日复盘!$A$3:$A$302,"yyyy-mm")=A8)*(每日复盘!$T$3:$T$302="多头因素占优"))</f>
        <v>0</v>
      </c>
      <c r="D8" s="17" t="n">
        <f aca="false">SUMPRODUCT((TEXT(每日复盘!$A$3:$A$302,"yyyy-mm")=A8)*(每日复盘!$T$3:$T$302="空头因素占优"))</f>
        <v>0</v>
      </c>
      <c r="E8" s="17" t="n">
        <f aca="false">SUMPRODUCT((TEXT(每日复盘!$A$3:$A$302,"yyyy-mm")=A8)*(每日复盘!$T$3:$T$302="多空信号不一致"))</f>
        <v>0</v>
      </c>
      <c r="F8" s="17" t="n">
        <f aca="false">SUMPRODUCT((TEXT(每日复盘!$A$3:$A$302,"yyyy-mm")=A8)*(每日复盘!$T$3:$T$302="无明显方向"))</f>
        <v>0</v>
      </c>
      <c r="G8" s="17" t="n">
        <f aca="false">SUMPRODUCT((TEXT(每日复盘!$A$3:$A$302,"yyyy-mm")=A8)*(每日复盘!$AC$3:$AC$302="是"))</f>
        <v>0</v>
      </c>
    </row>
    <row r="9" customFormat="false" ht="15" hidden="false" customHeight="false" outlineLevel="0" collapsed="false">
      <c r="A9" s="16" t="s">
        <v>98</v>
      </c>
      <c r="B9" s="17" t="n">
        <f aca="false">SUMPRODUCT((TEXT(每日复盘!$A$3:$A$302,"yyyy-mm")=A9)*(每日复盘!$A$3:$A$302&lt;&gt;""))</f>
        <v>0</v>
      </c>
      <c r="C9" s="17" t="n">
        <f aca="false">SUMPRODUCT((TEXT(每日复盘!$A$3:$A$302,"yyyy-mm")=A9)*(每日复盘!$T$3:$T$302="多头因素占优"))</f>
        <v>0</v>
      </c>
      <c r="D9" s="17" t="n">
        <f aca="false">SUMPRODUCT((TEXT(每日复盘!$A$3:$A$302,"yyyy-mm")=A9)*(每日复盘!$T$3:$T$302="空头因素占优"))</f>
        <v>0</v>
      </c>
      <c r="E9" s="17" t="n">
        <f aca="false">SUMPRODUCT((TEXT(每日复盘!$A$3:$A$302,"yyyy-mm")=A9)*(每日复盘!$T$3:$T$302="多空信号不一致"))</f>
        <v>0</v>
      </c>
      <c r="F9" s="17" t="n">
        <f aca="false">SUMPRODUCT((TEXT(每日复盘!$A$3:$A$302,"yyyy-mm")=A9)*(每日复盘!$T$3:$T$302="无明显方向"))</f>
        <v>0</v>
      </c>
      <c r="G9" s="17" t="n">
        <f aca="false">SUMPRODUCT((TEXT(每日复盘!$A$3:$A$302,"yyyy-mm")=A9)*(每日复盘!$AC$3:$AC$302="是"))</f>
        <v>0</v>
      </c>
    </row>
    <row r="10" customFormat="false" ht="15" hidden="false" customHeight="false" outlineLevel="0" collapsed="false">
      <c r="A10" s="16" t="s">
        <v>99</v>
      </c>
      <c r="B10" s="17" t="n">
        <f aca="false">SUMPRODUCT((TEXT(每日复盘!$A$3:$A$302,"yyyy-mm")=A10)*(每日复盘!$A$3:$A$302&lt;&gt;""))</f>
        <v>0</v>
      </c>
      <c r="C10" s="17" t="n">
        <f aca="false">SUMPRODUCT((TEXT(每日复盘!$A$3:$A$302,"yyyy-mm")=A10)*(每日复盘!$T$3:$T$302="多头因素占优"))</f>
        <v>0</v>
      </c>
      <c r="D10" s="17" t="n">
        <f aca="false">SUMPRODUCT((TEXT(每日复盘!$A$3:$A$302,"yyyy-mm")=A10)*(每日复盘!$T$3:$T$302="空头因素占优"))</f>
        <v>0</v>
      </c>
      <c r="E10" s="17" t="n">
        <f aca="false">SUMPRODUCT((TEXT(每日复盘!$A$3:$A$302,"yyyy-mm")=A10)*(每日复盘!$T$3:$T$302="多空信号不一致"))</f>
        <v>0</v>
      </c>
      <c r="F10" s="17" t="n">
        <f aca="false">SUMPRODUCT((TEXT(每日复盘!$A$3:$A$302,"yyyy-mm")=A10)*(每日复盘!$T$3:$T$302="无明显方向"))</f>
        <v>0</v>
      </c>
      <c r="G10" s="17" t="n">
        <f aca="false">SUMPRODUCT((TEXT(每日复盘!$A$3:$A$302,"yyyy-mm")=A10)*(每日复盘!$AC$3:$AC$302="是"))</f>
        <v>0</v>
      </c>
    </row>
    <row r="11" customFormat="false" ht="15" hidden="false" customHeight="false" outlineLevel="0" collapsed="false">
      <c r="A11" s="16" t="s">
        <v>100</v>
      </c>
      <c r="B11" s="17" t="n">
        <f aca="false">SUMPRODUCT((TEXT(每日复盘!$A$3:$A$302,"yyyy-mm")=A11)*(每日复盘!$A$3:$A$302&lt;&gt;""))</f>
        <v>0</v>
      </c>
      <c r="C11" s="17" t="n">
        <f aca="false">SUMPRODUCT((TEXT(每日复盘!$A$3:$A$302,"yyyy-mm")=A11)*(每日复盘!$T$3:$T$302="多头因素占优"))</f>
        <v>0</v>
      </c>
      <c r="D11" s="17" t="n">
        <f aca="false">SUMPRODUCT((TEXT(每日复盘!$A$3:$A$302,"yyyy-mm")=A11)*(每日复盘!$T$3:$T$302="空头因素占优"))</f>
        <v>0</v>
      </c>
      <c r="E11" s="17" t="n">
        <f aca="false">SUMPRODUCT((TEXT(每日复盘!$A$3:$A$302,"yyyy-mm")=A11)*(每日复盘!$T$3:$T$302="多空信号不一致"))</f>
        <v>0</v>
      </c>
      <c r="F11" s="17" t="n">
        <f aca="false">SUMPRODUCT((TEXT(每日复盘!$A$3:$A$302,"yyyy-mm")=A11)*(每日复盘!$T$3:$T$302="无明显方向"))</f>
        <v>0</v>
      </c>
      <c r="G11" s="17" t="n">
        <f aca="false">SUMPRODUCT((TEXT(每日复盘!$A$3:$A$302,"yyyy-mm")=A11)*(每日复盘!$AC$3:$AC$302="是"))</f>
        <v>0</v>
      </c>
    </row>
    <row r="12" customFormat="false" ht="15" hidden="false" customHeight="false" outlineLevel="0" collapsed="false">
      <c r="A12" s="16" t="s">
        <v>101</v>
      </c>
      <c r="B12" s="17" t="n">
        <f aca="false">SUMPRODUCT((TEXT(每日复盘!$A$3:$A$302,"yyyy-mm")=A12)*(每日复盘!$A$3:$A$302&lt;&gt;""))</f>
        <v>0</v>
      </c>
      <c r="C12" s="17" t="n">
        <f aca="false">SUMPRODUCT((TEXT(每日复盘!$A$3:$A$302,"yyyy-mm")=A12)*(每日复盘!$T$3:$T$302="多头因素占优"))</f>
        <v>0</v>
      </c>
      <c r="D12" s="17" t="n">
        <f aca="false">SUMPRODUCT((TEXT(每日复盘!$A$3:$A$302,"yyyy-mm")=A12)*(每日复盘!$T$3:$T$302="空头因素占优"))</f>
        <v>0</v>
      </c>
      <c r="E12" s="17" t="n">
        <f aca="false">SUMPRODUCT((TEXT(每日复盘!$A$3:$A$302,"yyyy-mm")=A12)*(每日复盘!$T$3:$T$302="多空信号不一致"))</f>
        <v>0</v>
      </c>
      <c r="F12" s="17" t="n">
        <f aca="false">SUMPRODUCT((TEXT(每日复盘!$A$3:$A$302,"yyyy-mm")=A12)*(每日复盘!$T$3:$T$302="无明显方向"))</f>
        <v>0</v>
      </c>
      <c r="G12" s="17" t="n">
        <f aca="false">SUMPRODUCT((TEXT(每日复盘!$A$3:$A$302,"yyyy-mm")=A12)*(每日复盘!$AC$3:$AC$302="是"))</f>
        <v>0</v>
      </c>
    </row>
    <row r="13" customFormat="false" ht="15" hidden="false" customHeight="false" outlineLevel="0" collapsed="false">
      <c r="A13" s="16" t="s">
        <v>102</v>
      </c>
      <c r="B13" s="17" t="n">
        <f aca="false">SUMPRODUCT((TEXT(每日复盘!$A$3:$A$302,"yyyy-mm")=A13)*(每日复盘!$A$3:$A$302&lt;&gt;""))</f>
        <v>0</v>
      </c>
      <c r="C13" s="17" t="n">
        <f aca="false">SUMPRODUCT((TEXT(每日复盘!$A$3:$A$302,"yyyy-mm")=A13)*(每日复盘!$T$3:$T$302="多头因素占优"))</f>
        <v>0</v>
      </c>
      <c r="D13" s="17" t="n">
        <f aca="false">SUMPRODUCT((TEXT(每日复盘!$A$3:$A$302,"yyyy-mm")=A13)*(每日复盘!$T$3:$T$302="空头因素占优"))</f>
        <v>0</v>
      </c>
      <c r="E13" s="17" t="n">
        <f aca="false">SUMPRODUCT((TEXT(每日复盘!$A$3:$A$302,"yyyy-mm")=A13)*(每日复盘!$T$3:$T$302="多空信号不一致"))</f>
        <v>0</v>
      </c>
      <c r="F13" s="17" t="n">
        <f aca="false">SUMPRODUCT((TEXT(每日复盘!$A$3:$A$302,"yyyy-mm")=A13)*(每日复盘!$T$3:$T$302="无明显方向"))</f>
        <v>0</v>
      </c>
      <c r="G13" s="17" t="n">
        <f aca="false">SUMPRODUCT((TEXT(每日复盘!$A$3:$A$302,"yyyy-mm")=A13)*(每日复盘!$AC$3:$AC$302="是"))</f>
        <v>0</v>
      </c>
    </row>
    <row r="15" customFormat="false" ht="48" hidden="false" customHeight="true" outlineLevel="0" collapsed="false">
      <c r="A15" s="18" t="s">
        <v>103</v>
      </c>
      <c r="B15" s="18"/>
      <c r="C15" s="18"/>
      <c r="D15" s="18"/>
      <c r="E15" s="18"/>
      <c r="F15" s="18"/>
      <c r="G15" s="18"/>
    </row>
  </sheetData>
  <mergeCells count="1"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2026-08-24T07:06:37Z</dcterms:created>
  <dc:creator>openpyxl</dc:creator>
  <dc:description/>
  <dc:language>en-US</dc:language>
  <cp:lastModifiedBy/>
  <dcterms:modified xsi:type="dcterms:W3CDTF">2026-08-24T07:06:37Z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